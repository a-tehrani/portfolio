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ruiser/Documents/Portfolio/portfolioDownloadables/"/>
    </mc:Choice>
  </mc:AlternateContent>
  <xr:revisionPtr revIDLastSave="0" documentId="8_{0D8E77B5-5BAD-684E-A7C7-45DDF2E5697D}" xr6:coauthVersionLast="47" xr6:coauthVersionMax="47" xr10:uidLastSave="{00000000-0000-0000-0000-000000000000}"/>
  <bookViews>
    <workbookView xWindow="0" yWindow="520" windowWidth="26240" windowHeight="16440" activeTab="1" xr2:uid="{14D07827-A8D7-40AF-871F-25F766354302}"/>
  </bookViews>
  <sheets>
    <sheet name="BreakEvenModel" sheetId="1" r:id="rId1"/>
    <sheet name="SensitivityAnalysis" sheetId="2" r:id="rId2"/>
  </sheets>
  <definedNames>
    <definedName name="GPU_Cloud">#REF!</definedName>
    <definedName name="GPU_Names">#REF!</definedName>
    <definedName name="GPU_Price">#REF!</definedName>
    <definedName name="GPU_Watts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8" i="2" l="1"/>
  <c r="E8" i="2"/>
  <c r="F8" i="2"/>
  <c r="G8" i="2"/>
  <c r="H8" i="2"/>
  <c r="I8" i="2"/>
  <c r="J8" i="2"/>
  <c r="K8" i="2"/>
  <c r="L8" i="2"/>
  <c r="D9" i="2"/>
  <c r="E9" i="2"/>
  <c r="F9" i="2"/>
  <c r="G9" i="2"/>
  <c r="H9" i="2"/>
  <c r="I9" i="2"/>
  <c r="J9" i="2"/>
  <c r="K9" i="2"/>
  <c r="L9" i="2"/>
  <c r="D10" i="2"/>
  <c r="E10" i="2"/>
  <c r="F10" i="2"/>
  <c r="G10" i="2"/>
  <c r="H10" i="2"/>
  <c r="I10" i="2"/>
  <c r="J10" i="2"/>
  <c r="K10" i="2"/>
  <c r="L10" i="2"/>
  <c r="D11" i="2"/>
  <c r="E11" i="2"/>
  <c r="F11" i="2"/>
  <c r="G11" i="2"/>
  <c r="H11" i="2"/>
  <c r="I11" i="2"/>
  <c r="J11" i="2"/>
  <c r="K11" i="2"/>
  <c r="L11" i="2"/>
  <c r="D12" i="2"/>
  <c r="E12" i="2"/>
  <c r="F12" i="2"/>
  <c r="G12" i="2"/>
  <c r="H12" i="2"/>
  <c r="I12" i="2"/>
  <c r="J12" i="2"/>
  <c r="K12" i="2"/>
  <c r="L12" i="2"/>
  <c r="D13" i="2"/>
  <c r="E13" i="2"/>
  <c r="F13" i="2"/>
  <c r="G13" i="2"/>
  <c r="H13" i="2"/>
  <c r="I13" i="2"/>
  <c r="J13" i="2"/>
  <c r="K13" i="2"/>
  <c r="L13" i="2"/>
  <c r="D14" i="2"/>
  <c r="E14" i="2"/>
  <c r="F14" i="2"/>
  <c r="G14" i="2"/>
  <c r="H14" i="2"/>
  <c r="I14" i="2"/>
  <c r="J14" i="2"/>
  <c r="K14" i="2"/>
  <c r="L14" i="2"/>
  <c r="D15" i="2"/>
  <c r="E15" i="2"/>
  <c r="F15" i="2"/>
  <c r="G15" i="2"/>
  <c r="H15" i="2"/>
  <c r="I15" i="2"/>
  <c r="J15" i="2"/>
  <c r="K15" i="2"/>
  <c r="L15" i="2"/>
  <c r="D16" i="2"/>
  <c r="E16" i="2"/>
  <c r="F16" i="2"/>
  <c r="G16" i="2"/>
  <c r="H16" i="2"/>
  <c r="I16" i="2"/>
  <c r="J16" i="2"/>
  <c r="K16" i="2"/>
  <c r="L16" i="2"/>
  <c r="D17" i="2"/>
  <c r="E17" i="2"/>
  <c r="F17" i="2"/>
  <c r="G17" i="2"/>
  <c r="H17" i="2"/>
  <c r="I17" i="2"/>
  <c r="J17" i="2"/>
  <c r="K17" i="2"/>
  <c r="L17" i="2"/>
  <c r="C9" i="2"/>
  <c r="C10" i="2"/>
  <c r="C11" i="2"/>
  <c r="C12" i="2"/>
  <c r="C13" i="2"/>
  <c r="C14" i="2"/>
  <c r="C15" i="2"/>
  <c r="C16" i="2"/>
  <c r="C17" i="2"/>
  <c r="C8" i="2"/>
  <c r="C11" i="1"/>
  <c r="C18" i="1" s="1"/>
  <c r="C19" i="1" s="1"/>
  <c r="G11" i="1"/>
  <c r="G12" i="1"/>
  <c r="G13" i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I20" i="1" s="1"/>
  <c r="G10" i="1"/>
  <c r="I13" i="1" l="1"/>
  <c r="I12" i="1"/>
  <c r="I10" i="1"/>
  <c r="I11" i="1"/>
  <c r="H10" i="1"/>
  <c r="J10" i="1" s="1"/>
  <c r="H20" i="1"/>
  <c r="J20" i="1" s="1"/>
  <c r="H13" i="1"/>
  <c r="J13" i="1" s="1"/>
  <c r="H12" i="1"/>
  <c r="K12" i="1" s="1"/>
  <c r="H11" i="1"/>
  <c r="I19" i="1"/>
  <c r="J19" i="1" s="1"/>
  <c r="I18" i="1"/>
  <c r="K18" i="1" s="1"/>
  <c r="I17" i="1"/>
  <c r="K17" i="1" s="1"/>
  <c r="I15" i="1"/>
  <c r="K15" i="1" s="1"/>
  <c r="I14" i="1"/>
  <c r="K14" i="1" s="1"/>
  <c r="I16" i="1"/>
  <c r="K16" i="1" s="1"/>
  <c r="J11" i="1" l="1"/>
  <c r="K19" i="1"/>
  <c r="J15" i="1"/>
  <c r="J18" i="1"/>
  <c r="J14" i="1"/>
  <c r="J16" i="1"/>
  <c r="J17" i="1"/>
  <c r="J12" i="1"/>
  <c r="K20" i="1"/>
  <c r="K10" i="1"/>
  <c r="K11" i="1"/>
  <c r="K13" i="1"/>
</calcChain>
</file>

<file path=xl/sharedStrings.xml><?xml version="1.0" encoding="utf-8"?>
<sst xmlns="http://schemas.openxmlformats.org/spreadsheetml/2006/main" count="22" uniqueCount="22">
  <si>
    <t>Cloud Rate ($ / GPU hr)</t>
  </si>
  <si>
    <t>Owned Hardware - Useful Life (yrs)</t>
  </si>
  <si>
    <t>Owned Hardware - Monthly Cost ($ / mo)</t>
  </si>
  <si>
    <t>Break-Even Point</t>
  </si>
  <si>
    <t>Usage Time in Hours (per month)</t>
  </si>
  <si>
    <t>Cost By Utilization Level</t>
  </si>
  <si>
    <t>Utilization</t>
  </si>
  <si>
    <t>Hours Used</t>
  </si>
  <si>
    <t>Cloud Cost ($/mo)</t>
  </si>
  <si>
    <t>Owned Cost ($/mo)</t>
  </si>
  <si>
    <t>Cheaper Option</t>
  </si>
  <si>
    <t>Monthly Savings</t>
  </si>
  <si>
    <t>Inputs</t>
  </si>
  <si>
    <t>Break-Even Hours Per Month</t>
  </si>
  <si>
    <t>Break-Even Utilization (% of Month)</t>
  </si>
  <si>
    <t>Change Data in Yellow:</t>
  </si>
  <si>
    <t>Owned Hardware - Cost to Buy ($)</t>
  </si>
  <si>
    <t>Running Costs from Owning ($ / hr)</t>
  </si>
  <si>
    <t xml:space="preserve">                                            GPU Computing: Rent or Buy Break-Even Model</t>
  </si>
  <si>
    <t>Sensitvity Analysis: Cloud Rate vs Hardware Cost and their Break-Even Utilization</t>
  </si>
  <si>
    <t xml:space="preserve">Hardware cost →
Cloud rate ↓  </t>
  </si>
  <si>
    <r>
      <rPr>
        <u/>
        <sz val="11"/>
        <color theme="1"/>
        <rFont val="Aptos Narrow (Body)"/>
      </rPr>
      <t>Affected By</t>
    </r>
    <r>
      <rPr>
        <sz val="11"/>
        <color theme="1"/>
        <rFont val="Aptos Narrow"/>
        <family val="2"/>
        <scheme val="minor"/>
      </rPr>
      <t xml:space="preserve">:
1. Useful life years
2. Running costs
3. Usagge time per month
Go to the BreakEvenModel sheet to test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</si>
</sst>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\$#,##0"/>
    <numFmt numFmtId="165" formatCode="0.0%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rgb="FF000000"/>
      <name val="Arial"/>
      <family val="2"/>
    </font>
    <font>
      <b/>
      <sz val="11"/>
      <color theme="0"/>
      <name val="Aptos Narrow"/>
      <scheme val="minor"/>
    </font>
    <font>
      <u/>
      <sz val="11"/>
      <color theme="1"/>
      <name val="Aptos Narrow (Body)"/>
    </font>
  </fonts>
  <fills count="14">
    <fill>
      <patternFill patternType="none"/>
    </fill>
    <fill>
      <patternFill patternType="gray125"/>
    </fill>
    <fill>
      <patternFill patternType="solid">
        <fgColor rgb="FF305496"/>
        <bgColor rgb="FF0066CC"/>
      </patternFill>
    </fill>
    <fill>
      <patternFill patternType="solid">
        <fgColor rgb="FFD9E1F2"/>
        <bgColor rgb="FFD9D9D9"/>
      </patternFill>
    </fill>
    <fill>
      <patternFill patternType="solid">
        <fgColor rgb="FFD9E1F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CE2D6"/>
        <bgColor indexed="64"/>
      </patternFill>
    </fill>
    <fill>
      <patternFill patternType="solid">
        <fgColor rgb="FFDBF2D1"/>
        <bgColor indexed="64"/>
      </patternFill>
    </fill>
    <fill>
      <patternFill patternType="solid">
        <fgColor rgb="FFF1DCED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59E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30">
    <xf numFmtId="0" fontId="0" fillId="0" borderId="0" xfId="0"/>
    <xf numFmtId="0" fontId="2" fillId="0" borderId="0" xfId="0" applyFont="1"/>
    <xf numFmtId="0" fontId="5" fillId="0" borderId="0" xfId="3" applyFont="1"/>
    <xf numFmtId="0" fontId="6" fillId="2" borderId="1" xfId="3" applyFont="1" applyFill="1" applyBorder="1" applyAlignment="1">
      <alignment horizontal="center"/>
    </xf>
    <xf numFmtId="165" fontId="5" fillId="0" borderId="1" xfId="3" applyNumberFormat="1" applyFont="1" applyBorder="1" applyAlignment="1">
      <alignment horizontal="center"/>
    </xf>
    <xf numFmtId="1" fontId="5" fillId="0" borderId="1" xfId="3" applyNumberFormat="1" applyFont="1" applyBorder="1"/>
    <xf numFmtId="164" fontId="5" fillId="0" borderId="1" xfId="3" applyNumberFormat="1" applyFont="1" applyBorder="1"/>
    <xf numFmtId="0" fontId="5" fillId="0" borderId="1" xfId="3" applyFont="1" applyBorder="1" applyAlignment="1">
      <alignment horizontal="center"/>
    </xf>
    <xf numFmtId="165" fontId="5" fillId="3" borderId="1" xfId="3" applyNumberFormat="1" applyFont="1" applyFill="1" applyBorder="1" applyAlignment="1">
      <alignment horizontal="center"/>
    </xf>
    <xf numFmtId="1" fontId="5" fillId="4" borderId="1" xfId="3" applyNumberFormat="1" applyFont="1" applyFill="1" applyBorder="1"/>
    <xf numFmtId="164" fontId="5" fillId="4" borderId="1" xfId="3" applyNumberFormat="1" applyFont="1" applyFill="1" applyBorder="1"/>
    <xf numFmtId="0" fontId="5" fillId="4" borderId="1" xfId="3" applyFont="1" applyFill="1" applyBorder="1" applyAlignment="1">
      <alignment horizontal="center"/>
    </xf>
    <xf numFmtId="2" fontId="0" fillId="6" borderId="2" xfId="0" applyNumberFormat="1" applyFill="1" applyBorder="1"/>
    <xf numFmtId="10" fontId="0" fillId="6" borderId="2" xfId="2" applyNumberFormat="1" applyFont="1" applyFill="1" applyBorder="1"/>
    <xf numFmtId="44" fontId="0" fillId="7" borderId="2" xfId="1" applyFont="1" applyFill="1" applyBorder="1"/>
    <xf numFmtId="0" fontId="0" fillId="7" borderId="2" xfId="1" applyNumberFormat="1" applyFont="1" applyFill="1" applyBorder="1"/>
    <xf numFmtId="0" fontId="0" fillId="7" borderId="2" xfId="0" applyFill="1" applyBorder="1"/>
    <xf numFmtId="0" fontId="7" fillId="0" borderId="0" xfId="3" applyFont="1"/>
    <xf numFmtId="0" fontId="7" fillId="9" borderId="2" xfId="3" applyFont="1" applyFill="1" applyBorder="1"/>
    <xf numFmtId="0" fontId="7" fillId="10" borderId="2" xfId="3" applyFont="1" applyFill="1" applyBorder="1"/>
    <xf numFmtId="0" fontId="7" fillId="11" borderId="2" xfId="3" applyFont="1" applyFill="1" applyBorder="1"/>
    <xf numFmtId="0" fontId="8" fillId="8" borderId="2" xfId="3" applyFont="1" applyFill="1" applyBorder="1"/>
    <xf numFmtId="0" fontId="9" fillId="0" borderId="0" xfId="0" applyFont="1" applyAlignment="1">
      <alignment vertical="center" wrapText="1"/>
    </xf>
    <xf numFmtId="44" fontId="10" fillId="12" borderId="2" xfId="1" applyFont="1" applyFill="1" applyBorder="1"/>
    <xf numFmtId="10" fontId="0" fillId="0" borderId="0" xfId="2" applyNumberFormat="1" applyFont="1"/>
    <xf numFmtId="44" fontId="0" fillId="6" borderId="2" xfId="1" applyFont="1" applyFill="1" applyBorder="1"/>
    <xf numFmtId="0" fontId="3" fillId="5" borderId="0" xfId="0" applyFont="1" applyFill="1" applyAlignment="1">
      <alignment horizontal="left" indent="56"/>
    </xf>
    <xf numFmtId="0" fontId="0" fillId="5" borderId="0" xfId="0" applyFill="1" applyAlignment="1">
      <alignment horizontal="left" indent="56"/>
    </xf>
    <xf numFmtId="0" fontId="0" fillId="5" borderId="0" xfId="0" applyFill="1" applyAlignment="1">
      <alignment horizontal="center"/>
    </xf>
    <xf numFmtId="0" fontId="0" fillId="13" borderId="2" xfId="0" applyFill="1" applyBorder="1" applyAlignment="1">
      <alignment horizontal="center" wrapText="1"/>
    </xf>
  </cellXfs>
  <cellStyles count="4">
    <cellStyle name="Currency" xfId="1" builtinId="4"/>
    <cellStyle name="Normal" xfId="0" builtinId="0"/>
    <cellStyle name="Normal 2" xfId="3" xr:uid="{84F5A1B1-E554-43EB-8936-501C7308AFEA}"/>
    <cellStyle name="Percent" xfId="2" builtinId="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59E"/>
      <color rgb="FFFFF578"/>
      <color rgb="FFEDE89D"/>
      <color rgb="FFECECA2"/>
      <color rgb="FFC9391B"/>
      <color rgb="FFF1DCD1"/>
      <color rgb="FFF1DCED"/>
      <color rgb="FFDBF2D1"/>
      <color rgb="FFFCE2D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Cost: Rent</a:t>
            </a:r>
            <a:r>
              <a:rPr lang="en-US" baseline="0"/>
              <a:t> vs Owned</a:t>
            </a:r>
          </a:p>
        </c:rich>
      </c:tx>
      <c:layout>
        <c:manualLayout>
          <c:xMode val="edge"/>
          <c:yMode val="edge"/>
          <c:x val="0.378647757923347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068622438866664E-2"/>
          <c:y val="0.18097222222222226"/>
          <c:w val="0.88895701931283"/>
          <c:h val="0.6153546952464275"/>
        </c:manualLayout>
      </c:layout>
      <c:lineChart>
        <c:grouping val="standard"/>
        <c:varyColors val="0"/>
        <c:ser>
          <c:idx val="1"/>
          <c:order val="1"/>
          <c:tx>
            <c:strRef>
              <c:f>BreakEvenModel!$H$9</c:f>
              <c:strCache>
                <c:ptCount val="1"/>
                <c:pt idx="0">
                  <c:v>Cloud Cost ($/mo)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BreakEvenModel!$F$10:$F$20</c:f>
              <c:numCache>
                <c:formatCode>0.0%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BreakEvenModel!$H$10:$H$20</c:f>
              <c:numCache>
                <c:formatCode>\$#,##0</c:formatCode>
                <c:ptCount val="11"/>
                <c:pt idx="0">
                  <c:v>0</c:v>
                </c:pt>
                <c:pt idx="1">
                  <c:v>219</c:v>
                </c:pt>
                <c:pt idx="2">
                  <c:v>438</c:v>
                </c:pt>
                <c:pt idx="3">
                  <c:v>657</c:v>
                </c:pt>
                <c:pt idx="4">
                  <c:v>876</c:v>
                </c:pt>
                <c:pt idx="5">
                  <c:v>1095</c:v>
                </c:pt>
                <c:pt idx="6">
                  <c:v>1314</c:v>
                </c:pt>
                <c:pt idx="7">
                  <c:v>1532.9999999999998</c:v>
                </c:pt>
                <c:pt idx="8">
                  <c:v>1752</c:v>
                </c:pt>
                <c:pt idx="9">
                  <c:v>1971</c:v>
                </c:pt>
                <c:pt idx="10">
                  <c:v>2190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6-415B-8669-FF9AAEA94E91}"/>
            </c:ext>
          </c:extLst>
        </c:ser>
        <c:ser>
          <c:idx val="2"/>
          <c:order val="2"/>
          <c:tx>
            <c:strRef>
              <c:f>BreakEvenModel!$I$9</c:f>
              <c:strCache>
                <c:ptCount val="1"/>
                <c:pt idx="0">
                  <c:v>Owned Cost ($/mo)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BreakEvenModel!$F$10:$F$20</c:f>
              <c:numCache>
                <c:formatCode>0.0%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BreakEvenModel!$I$10:$I$20</c:f>
              <c:numCache>
                <c:formatCode>\$#,##0</c:formatCode>
                <c:ptCount val="11"/>
                <c:pt idx="0">
                  <c:v>833.33333333333337</c:v>
                </c:pt>
                <c:pt idx="1">
                  <c:v>855.23333333333335</c:v>
                </c:pt>
                <c:pt idx="2">
                  <c:v>877.13333333333333</c:v>
                </c:pt>
                <c:pt idx="3">
                  <c:v>899.03333333333342</c:v>
                </c:pt>
                <c:pt idx="4">
                  <c:v>920.93333333333339</c:v>
                </c:pt>
                <c:pt idx="5">
                  <c:v>942.83333333333337</c:v>
                </c:pt>
                <c:pt idx="6">
                  <c:v>964.73333333333335</c:v>
                </c:pt>
                <c:pt idx="7">
                  <c:v>986.63333333333333</c:v>
                </c:pt>
                <c:pt idx="8">
                  <c:v>1008.5333333333333</c:v>
                </c:pt>
                <c:pt idx="9">
                  <c:v>1030.4333333333334</c:v>
                </c:pt>
                <c:pt idx="10">
                  <c:v>1052.3333333333335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6-415B-8669-FF9AAEA94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497840"/>
        <c:axId val="1081218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BreakEvenModel!$F$9</c15:sqref>
                        </c15:formulaRef>
                      </c:ext>
                    </c:extLst>
                    <c:strCache>
                      <c:ptCount val="1"/>
                      <c:pt idx="0">
                        <c:v>Utilization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BreakEvenModel!$F$10:$F$20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  <c:pt idx="5">
                        <c:v>0.5</c:v>
                      </c:pt>
                      <c:pt idx="6">
                        <c:v>0.6</c:v>
                      </c:pt>
                      <c:pt idx="7">
                        <c:v>0.7</c:v>
                      </c:pt>
                      <c:pt idx="8">
                        <c:v>0.8</c:v>
                      </c:pt>
                      <c:pt idx="9">
                        <c:v>0.9</c:v>
                      </c:pt>
                      <c:pt idx="10">
                        <c:v>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BreakEvenModel!$F$10:$F$20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  <c:pt idx="5">
                        <c:v>0.5</c:v>
                      </c:pt>
                      <c:pt idx="6">
                        <c:v>0.6</c:v>
                      </c:pt>
                      <c:pt idx="7">
                        <c:v>0.7</c:v>
                      </c:pt>
                      <c:pt idx="8">
                        <c:v>0.8</c:v>
                      </c:pt>
                      <c:pt idx="9">
                        <c:v>0.9</c:v>
                      </c:pt>
                      <c:pt idx="1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C6-415B-8669-FF9AAEA94E91}"/>
                  </c:ext>
                </c:extLst>
              </c15:ser>
            </c15:filteredLineSeries>
          </c:ext>
        </c:extLst>
      </c:lineChart>
      <c:catAx>
        <c:axId val="1241497840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218912"/>
        <c:crosses val="autoZero"/>
        <c:auto val="1"/>
        <c:lblAlgn val="ctr"/>
        <c:lblOffset val="100"/>
        <c:noMultiLvlLbl val="0"/>
      </c:catAx>
      <c:valAx>
        <c:axId val="108121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49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1298202</xdr:colOff>
      <xdr:row>20</xdr:row>
      <xdr:rowOff>190219</xdr:rowOff>
    </xdr:from>
    <xdr:to>
      <xdr:col>9</xdr:col>
      <xdr:colOff>905436</xdr:colOff>
      <xdr:row>35</xdr:row>
      <xdr:rowOff>75919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D35483-F49A-64FC-8CA1-25949CA045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B59C3-6688-4111-AEBD-FCA0C2F50583}">
  <dimension ref="A1:Y22"/>
  <sheetViews>
    <sheetView zoomScale="82" zoomScaleNormal="100" workbookViewId="0">
      <selection activeCell="E37" sqref="E37"/>
    </sheetView>
  </sheetViews>
  <sheetFormatPr baseColWidth="10" defaultColWidth="8.83203125" defaultRowHeight="15" x14ac:dyDescent="0.2"/>
  <cols>
    <col min="1" max="1" width="11.5" customWidth="1"/>
    <col min="2" max="2" width="40" bestFit="1" customWidth="1"/>
    <col min="3" max="3" width="11.5" customWidth="1"/>
    <col min="5" max="6" width="36.1640625" bestFit="1" customWidth="1"/>
    <col min="7" max="7" width="19.33203125" bestFit="1" customWidth="1"/>
    <col min="8" max="9" width="20.5" bestFit="1" customWidth="1"/>
    <col min="10" max="11" width="18" bestFit="1" customWidth="1"/>
  </cols>
  <sheetData>
    <row r="1" spans="1:25" x14ac:dyDescent="0.2">
      <c r="A1" s="26" t="s">
        <v>18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x14ac:dyDescent="0.2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</row>
    <row r="3" spans="1:25" x14ac:dyDescent="0.2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</row>
    <row r="4" spans="1:25" x14ac:dyDescent="0.2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</row>
    <row r="5" spans="1:2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</row>
    <row r="7" spans="1:25" ht="24" x14ac:dyDescent="0.3">
      <c r="B7" s="1" t="s">
        <v>12</v>
      </c>
      <c r="C7" t="s">
        <v>15</v>
      </c>
      <c r="F7" s="1" t="s">
        <v>5</v>
      </c>
    </row>
    <row r="8" spans="1:25" x14ac:dyDescent="0.2">
      <c r="B8" s="18" t="s">
        <v>0</v>
      </c>
      <c r="C8" s="14">
        <v>3</v>
      </c>
    </row>
    <row r="9" spans="1:25" x14ac:dyDescent="0.2">
      <c r="B9" s="19" t="s">
        <v>16</v>
      </c>
      <c r="C9" s="14">
        <v>30000</v>
      </c>
      <c r="F9" s="3" t="s">
        <v>6</v>
      </c>
      <c r="G9" s="3" t="s">
        <v>7</v>
      </c>
      <c r="H9" s="3" t="s">
        <v>8</v>
      </c>
      <c r="I9" s="3" t="s">
        <v>9</v>
      </c>
      <c r="J9" s="3" t="s">
        <v>10</v>
      </c>
      <c r="K9" s="3" t="s">
        <v>11</v>
      </c>
    </row>
    <row r="10" spans="1:25" x14ac:dyDescent="0.2">
      <c r="B10" s="19" t="s">
        <v>1</v>
      </c>
      <c r="C10" s="15">
        <v>3</v>
      </c>
      <c r="F10" s="4">
        <v>0</v>
      </c>
      <c r="G10" s="5">
        <f t="shared" ref="G10:G20" si="0">F10*$C$13</f>
        <v>0</v>
      </c>
      <c r="H10" s="6">
        <f t="shared" ref="H10:H20" si="1">G10*$C$8</f>
        <v>0</v>
      </c>
      <c r="I10" s="6">
        <f t="shared" ref="I10:I20" si="2">$C$11+$C$12*G10</f>
        <v>833.33333333333337</v>
      </c>
      <c r="J10" s="7" t="str">
        <f>IF(H10&lt;I10,"Cloud (rent)",IF(H10&gt;I10,"Owned (buy)","Tie"))</f>
        <v>Cloud (rent)</v>
      </c>
      <c r="K10" s="6">
        <f>ABS(I10-H10)</f>
        <v>833.33333333333337</v>
      </c>
    </row>
    <row r="11" spans="1:25" x14ac:dyDescent="0.2">
      <c r="B11" s="19" t="s">
        <v>2</v>
      </c>
      <c r="C11" s="25">
        <f>C9/(C10*12)</f>
        <v>833.33333333333337</v>
      </c>
      <c r="F11" s="8">
        <v>0.1</v>
      </c>
      <c r="G11" s="9">
        <f t="shared" si="0"/>
        <v>73</v>
      </c>
      <c r="H11" s="10">
        <f t="shared" si="1"/>
        <v>219</v>
      </c>
      <c r="I11" s="10">
        <f t="shared" si="2"/>
        <v>855.23333333333335</v>
      </c>
      <c r="J11" s="11" t="str">
        <f t="shared" ref="J11:J20" si="3">IF(H11&lt;I11,"Cloud (rent)",IF(H11&gt;I11,"Owned (buy)","Tie"))</f>
        <v>Cloud (rent)</v>
      </c>
      <c r="K11" s="10">
        <f t="shared" ref="K11:K20" si="4">ABS(I11-H11)</f>
        <v>636.23333333333335</v>
      </c>
    </row>
    <row r="12" spans="1:25" x14ac:dyDescent="0.2">
      <c r="B12" s="19" t="s">
        <v>17</v>
      </c>
      <c r="C12" s="14">
        <v>0.3</v>
      </c>
      <c r="F12" s="4">
        <v>0.2</v>
      </c>
      <c r="G12" s="5">
        <f t="shared" si="0"/>
        <v>146</v>
      </c>
      <c r="H12" s="6">
        <f t="shared" si="1"/>
        <v>438</v>
      </c>
      <c r="I12" s="6">
        <f t="shared" si="2"/>
        <v>877.13333333333333</v>
      </c>
      <c r="J12" s="7" t="str">
        <f t="shared" si="3"/>
        <v>Cloud (rent)</v>
      </c>
      <c r="K12" s="6">
        <f t="shared" si="4"/>
        <v>439.13333333333333</v>
      </c>
    </row>
    <row r="13" spans="1:25" x14ac:dyDescent="0.2">
      <c r="B13" s="20" t="s">
        <v>4</v>
      </c>
      <c r="C13" s="16">
        <v>730</v>
      </c>
      <c r="F13" s="8">
        <v>0.3</v>
      </c>
      <c r="G13" s="9">
        <f t="shared" si="0"/>
        <v>219</v>
      </c>
      <c r="H13" s="10">
        <f t="shared" si="1"/>
        <v>657</v>
      </c>
      <c r="I13" s="10">
        <f t="shared" si="2"/>
        <v>899.03333333333342</v>
      </c>
      <c r="J13" s="11" t="str">
        <f t="shared" si="3"/>
        <v>Cloud (rent)</v>
      </c>
      <c r="K13" s="10">
        <f t="shared" si="4"/>
        <v>242.03333333333342</v>
      </c>
    </row>
    <row r="14" spans="1:25" x14ac:dyDescent="0.2">
      <c r="F14" s="4">
        <v>0.4</v>
      </c>
      <c r="G14" s="5">
        <f t="shared" si="0"/>
        <v>292</v>
      </c>
      <c r="H14" s="6">
        <f t="shared" si="1"/>
        <v>876</v>
      </c>
      <c r="I14" s="6">
        <f t="shared" si="2"/>
        <v>920.93333333333339</v>
      </c>
      <c r="J14" s="7" t="str">
        <f t="shared" si="3"/>
        <v>Cloud (rent)</v>
      </c>
      <c r="K14" s="6">
        <f t="shared" si="4"/>
        <v>44.933333333333394</v>
      </c>
    </row>
    <row r="15" spans="1:25" x14ac:dyDescent="0.2">
      <c r="F15" s="8">
        <v>0.5</v>
      </c>
      <c r="G15" s="9">
        <f t="shared" si="0"/>
        <v>365</v>
      </c>
      <c r="H15" s="10">
        <f t="shared" si="1"/>
        <v>1095</v>
      </c>
      <c r="I15" s="10">
        <f t="shared" si="2"/>
        <v>942.83333333333337</v>
      </c>
      <c r="J15" s="11" t="str">
        <f t="shared" si="3"/>
        <v>Owned (buy)</v>
      </c>
      <c r="K15" s="10">
        <f t="shared" si="4"/>
        <v>152.16666666666663</v>
      </c>
    </row>
    <row r="16" spans="1:25" x14ac:dyDescent="0.2">
      <c r="F16" s="4">
        <v>0.6</v>
      </c>
      <c r="G16" s="5">
        <f t="shared" si="0"/>
        <v>438</v>
      </c>
      <c r="H16" s="6">
        <f t="shared" si="1"/>
        <v>1314</v>
      </c>
      <c r="I16" s="6">
        <f t="shared" si="2"/>
        <v>964.73333333333335</v>
      </c>
      <c r="J16" s="7" t="str">
        <f t="shared" si="3"/>
        <v>Owned (buy)</v>
      </c>
      <c r="K16" s="6">
        <f t="shared" si="4"/>
        <v>349.26666666666665</v>
      </c>
    </row>
    <row r="17" spans="2:11" ht="24" x14ac:dyDescent="0.3">
      <c r="B17" s="1" t="s">
        <v>3</v>
      </c>
      <c r="F17" s="8">
        <v>0.7</v>
      </c>
      <c r="G17" s="9">
        <f t="shared" si="0"/>
        <v>510.99999999999994</v>
      </c>
      <c r="H17" s="10">
        <f t="shared" si="1"/>
        <v>1532.9999999999998</v>
      </c>
      <c r="I17" s="10">
        <f t="shared" si="2"/>
        <v>986.63333333333333</v>
      </c>
      <c r="J17" s="11" t="str">
        <f t="shared" si="3"/>
        <v>Owned (buy)</v>
      </c>
      <c r="K17" s="10">
        <f t="shared" si="4"/>
        <v>546.36666666666645</v>
      </c>
    </row>
    <row r="18" spans="2:11" x14ac:dyDescent="0.2">
      <c r="B18" s="21" t="s">
        <v>13</v>
      </c>
      <c r="C18" s="12">
        <f>C11/(C8-C12)</f>
        <v>308.64197530864197</v>
      </c>
      <c r="F18" s="4">
        <v>0.8</v>
      </c>
      <c r="G18" s="5">
        <f t="shared" si="0"/>
        <v>584</v>
      </c>
      <c r="H18" s="6">
        <f t="shared" si="1"/>
        <v>1752</v>
      </c>
      <c r="I18" s="6">
        <f t="shared" si="2"/>
        <v>1008.5333333333333</v>
      </c>
      <c r="J18" s="7" t="str">
        <f t="shared" si="3"/>
        <v>Owned (buy)</v>
      </c>
      <c r="K18" s="6">
        <f t="shared" si="4"/>
        <v>743.4666666666667</v>
      </c>
    </row>
    <row r="19" spans="2:11" x14ac:dyDescent="0.2">
      <c r="B19" s="21" t="s">
        <v>14</v>
      </c>
      <c r="C19" s="13">
        <f>C18/C13</f>
        <v>0.42279722645019446</v>
      </c>
      <c r="F19" s="8">
        <v>0.9</v>
      </c>
      <c r="G19" s="9">
        <f t="shared" si="0"/>
        <v>657</v>
      </c>
      <c r="H19" s="10">
        <f t="shared" si="1"/>
        <v>1971</v>
      </c>
      <c r="I19" s="10">
        <f t="shared" si="2"/>
        <v>1030.4333333333334</v>
      </c>
      <c r="J19" s="11" t="str">
        <f t="shared" si="3"/>
        <v>Owned (buy)</v>
      </c>
      <c r="K19" s="10">
        <f t="shared" si="4"/>
        <v>940.56666666666661</v>
      </c>
    </row>
    <row r="20" spans="2:11" x14ac:dyDescent="0.2">
      <c r="F20" s="4">
        <v>1</v>
      </c>
      <c r="G20" s="5">
        <f t="shared" si="0"/>
        <v>730</v>
      </c>
      <c r="H20" s="6">
        <f t="shared" si="1"/>
        <v>2190</v>
      </c>
      <c r="I20" s="6">
        <f t="shared" si="2"/>
        <v>1052.3333333333335</v>
      </c>
      <c r="J20" s="7" t="str">
        <f t="shared" si="3"/>
        <v>Owned (buy)</v>
      </c>
      <c r="K20" s="6">
        <f t="shared" si="4"/>
        <v>1137.6666666666665</v>
      </c>
    </row>
    <row r="21" spans="2:11" x14ac:dyDescent="0.2">
      <c r="B21" s="2"/>
    </row>
    <row r="22" spans="2:11" x14ac:dyDescent="0.2">
      <c r="B22" s="17"/>
    </row>
  </sheetData>
  <mergeCells count="3">
    <mergeCell ref="A1:Y3"/>
    <mergeCell ref="A4:Y4"/>
    <mergeCell ref="A5:Y5"/>
  </mergeCells>
  <conditionalFormatting sqref="J10:J20">
    <cfRule type="containsText" dxfId="2" priority="1" operator="containsText" text="Owned (buy)">
      <formula>NOT(ISERROR(SEARCH("Owned (buy)",J10)))</formula>
    </cfRule>
    <cfRule type="containsText" dxfId="1" priority="2" operator="containsText" text="Cloud (rent)">
      <formula>NOT(ISERROR(SEARCH("Cloud (rent)",J10)))</formula>
    </cfRule>
    <cfRule type="cellIs" dxfId="0" priority="3" operator="equal">
      <formula>"""Cloud (rent)"""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E7E6B-B29E-354C-899D-90CED2569DA9}">
  <dimension ref="A1:Y17"/>
  <sheetViews>
    <sheetView tabSelected="1" workbookViewId="0">
      <selection activeCell="Z43" sqref="Z43"/>
    </sheetView>
  </sheetViews>
  <sheetFormatPr baseColWidth="10" defaultRowHeight="15" x14ac:dyDescent="0.2"/>
  <cols>
    <col min="1" max="1" width="11.6640625" customWidth="1"/>
    <col min="2" max="2" width="18" customWidth="1"/>
    <col min="3" max="11" width="11.1640625" bestFit="1" customWidth="1"/>
  </cols>
  <sheetData>
    <row r="1" spans="1:25" x14ac:dyDescent="0.2">
      <c r="A1" s="26" t="s">
        <v>19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x14ac:dyDescent="0.2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</row>
    <row r="3" spans="1:25" x14ac:dyDescent="0.2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</row>
    <row r="4" spans="1:25" x14ac:dyDescent="0.2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</row>
    <row r="5" spans="1:2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</row>
    <row r="7" spans="1:25" ht="30" x14ac:dyDescent="0.2">
      <c r="B7" s="22" t="s">
        <v>20</v>
      </c>
      <c r="C7" s="23">
        <v>15000</v>
      </c>
      <c r="D7" s="23">
        <v>20000</v>
      </c>
      <c r="E7" s="23">
        <v>25000</v>
      </c>
      <c r="F7" s="23">
        <v>30000</v>
      </c>
      <c r="G7" s="23">
        <v>35000</v>
      </c>
      <c r="H7" s="23">
        <v>40000</v>
      </c>
      <c r="I7" s="23">
        <v>45000</v>
      </c>
      <c r="J7" s="23">
        <v>50000</v>
      </c>
      <c r="K7" s="23">
        <v>55000</v>
      </c>
      <c r="L7" s="23">
        <v>60000</v>
      </c>
    </row>
    <row r="8" spans="1:25" x14ac:dyDescent="0.2">
      <c r="B8" s="23">
        <v>1.5</v>
      </c>
      <c r="C8" s="24">
        <f>C$7/(BreakEvenModel!$C$10*12)/($B8-BreakEvenModel!$C$12)/BreakEvenModel!$C$13</f>
        <v>0.4756468797564688</v>
      </c>
      <c r="D8" s="24">
        <f>D$7/(BreakEvenModel!$C$10*12)/($B8-BreakEvenModel!$C$12)/BreakEvenModel!$C$13</f>
        <v>0.63419583967529181</v>
      </c>
      <c r="E8" s="24">
        <f>E$7/(BreakEvenModel!$C$10*12)/($B8-BreakEvenModel!$C$12)/BreakEvenModel!$C$13</f>
        <v>0.7927447995941147</v>
      </c>
      <c r="F8" s="24">
        <f>F$7/(BreakEvenModel!$C$10*12)/($B8-BreakEvenModel!$C$12)/BreakEvenModel!$C$13</f>
        <v>0.9512937595129376</v>
      </c>
      <c r="G8" s="24">
        <f>G$7/(BreakEvenModel!$C$10*12)/($B8-BreakEvenModel!$C$12)/BreakEvenModel!$C$13</f>
        <v>1.1098427194317606</v>
      </c>
      <c r="H8" s="24">
        <f>H$7/(BreakEvenModel!$C$10*12)/($B8-BreakEvenModel!$C$12)/BreakEvenModel!$C$13</f>
        <v>1.2683916793505836</v>
      </c>
      <c r="I8" s="24">
        <f>I$7/(BreakEvenModel!$C$10*12)/($B8-BreakEvenModel!$C$12)/BreakEvenModel!$C$13</f>
        <v>1.4269406392694064</v>
      </c>
      <c r="J8" s="24">
        <f>J$7/(BreakEvenModel!$C$10*12)/($B8-BreakEvenModel!$C$12)/BreakEvenModel!$C$13</f>
        <v>1.5854895991882294</v>
      </c>
      <c r="K8" s="24">
        <f>K$7/(BreakEvenModel!$C$10*12)/($B8-BreakEvenModel!$C$12)/BreakEvenModel!$C$13</f>
        <v>1.7440385591070524</v>
      </c>
      <c r="L8" s="24">
        <f>L$7/(BreakEvenModel!$C$10*12)/($B8-BreakEvenModel!$C$12)/BreakEvenModel!$C$13</f>
        <v>1.9025875190258752</v>
      </c>
      <c r="N8" s="29" t="s">
        <v>21</v>
      </c>
      <c r="O8" s="29"/>
      <c r="P8" s="29"/>
    </row>
    <row r="9" spans="1:25" x14ac:dyDescent="0.2">
      <c r="B9" s="23">
        <v>2</v>
      </c>
      <c r="C9" s="24">
        <f>C$7/(BreakEvenModel!$C$10*12)/($B9-BreakEvenModel!$C$12)/BreakEvenModel!$C$13</f>
        <v>0.33575073865162508</v>
      </c>
      <c r="D9" s="24">
        <f>D$7/(BreakEvenModel!$C$10*12)/($B9-BreakEvenModel!$C$12)/BreakEvenModel!$C$13</f>
        <v>0.44766765153550003</v>
      </c>
      <c r="E9" s="24">
        <f>E$7/(BreakEvenModel!$C$10*12)/($B9-BreakEvenModel!$C$12)/BreakEvenModel!$C$13</f>
        <v>0.5595845644193751</v>
      </c>
      <c r="F9" s="24">
        <f>F$7/(BreakEvenModel!$C$10*12)/($B9-BreakEvenModel!$C$12)/BreakEvenModel!$C$13</f>
        <v>0.67150147730325016</v>
      </c>
      <c r="G9" s="24">
        <f>G$7/(BreakEvenModel!$C$10*12)/($B9-BreakEvenModel!$C$12)/BreakEvenModel!$C$13</f>
        <v>0.783418390187125</v>
      </c>
      <c r="H9" s="24">
        <f>H$7/(BreakEvenModel!$C$10*12)/($B9-BreakEvenModel!$C$12)/BreakEvenModel!$C$13</f>
        <v>0.89533530307100007</v>
      </c>
      <c r="I9" s="24">
        <f>I$7/(BreakEvenModel!$C$10*12)/($B9-BreakEvenModel!$C$12)/BreakEvenModel!$C$13</f>
        <v>1.0072522159548751</v>
      </c>
      <c r="J9" s="24">
        <f>J$7/(BreakEvenModel!$C$10*12)/($B9-BreakEvenModel!$C$12)/BreakEvenModel!$C$13</f>
        <v>1.1191691288387502</v>
      </c>
      <c r="K9" s="24">
        <f>K$7/(BreakEvenModel!$C$10*12)/($B9-BreakEvenModel!$C$12)/BreakEvenModel!$C$13</f>
        <v>1.2310860417226253</v>
      </c>
      <c r="L9" s="24">
        <f>L$7/(BreakEvenModel!$C$10*12)/($B9-BreakEvenModel!$C$12)/BreakEvenModel!$C$13</f>
        <v>1.3430029546065003</v>
      </c>
      <c r="N9" s="29"/>
      <c r="O9" s="29"/>
      <c r="P9" s="29"/>
    </row>
    <row r="10" spans="1:25" x14ac:dyDescent="0.2">
      <c r="B10" s="23">
        <v>2.5</v>
      </c>
      <c r="C10" s="24">
        <f>C$7/(BreakEvenModel!$C$10*12)/($B10-BreakEvenModel!$C$12)/BreakEvenModel!$C$13</f>
        <v>0.25944375259443753</v>
      </c>
      <c r="D10" s="24">
        <f>D$7/(BreakEvenModel!$C$10*12)/($B10-BreakEvenModel!$C$12)/BreakEvenModel!$C$13</f>
        <v>0.34592500345925004</v>
      </c>
      <c r="E10" s="24">
        <f>E$7/(BreakEvenModel!$C$10*12)/($B10-BreakEvenModel!$C$12)/BreakEvenModel!$C$13</f>
        <v>0.43240625432406254</v>
      </c>
      <c r="F10" s="24">
        <f>F$7/(BreakEvenModel!$C$10*12)/($B10-BreakEvenModel!$C$12)/BreakEvenModel!$C$13</f>
        <v>0.51888750518887505</v>
      </c>
      <c r="G10" s="24">
        <f>G$7/(BreakEvenModel!$C$10*12)/($B10-BreakEvenModel!$C$12)/BreakEvenModel!$C$13</f>
        <v>0.60536875605368745</v>
      </c>
      <c r="H10" s="24">
        <f>H$7/(BreakEvenModel!$C$10*12)/($B10-BreakEvenModel!$C$12)/BreakEvenModel!$C$13</f>
        <v>0.69185000691850007</v>
      </c>
      <c r="I10" s="24">
        <f>I$7/(BreakEvenModel!$C$10*12)/($B10-BreakEvenModel!$C$12)/BreakEvenModel!$C$13</f>
        <v>0.77833125778331247</v>
      </c>
      <c r="J10" s="24">
        <f>J$7/(BreakEvenModel!$C$10*12)/($B10-BreakEvenModel!$C$12)/BreakEvenModel!$C$13</f>
        <v>0.86481250864812509</v>
      </c>
      <c r="K10" s="24">
        <f>K$7/(BreakEvenModel!$C$10*12)/($B10-BreakEvenModel!$C$12)/BreakEvenModel!$C$13</f>
        <v>0.9512937595129376</v>
      </c>
      <c r="L10" s="24">
        <f>L$7/(BreakEvenModel!$C$10*12)/($B10-BreakEvenModel!$C$12)/BreakEvenModel!$C$13</f>
        <v>1.0377750103777501</v>
      </c>
      <c r="N10" s="29"/>
      <c r="O10" s="29"/>
      <c r="P10" s="29"/>
    </row>
    <row r="11" spans="1:25" x14ac:dyDescent="0.2">
      <c r="B11" s="23">
        <v>3</v>
      </c>
      <c r="C11" s="24">
        <f>C$7/(BreakEvenModel!$C$10*12)/($B11-BreakEvenModel!$C$12)/BreakEvenModel!$C$13</f>
        <v>0.21139861322509723</v>
      </c>
      <c r="D11" s="24">
        <f>D$7/(BreakEvenModel!$C$10*12)/($B11-BreakEvenModel!$C$12)/BreakEvenModel!$C$13</f>
        <v>0.28186481763346294</v>
      </c>
      <c r="E11" s="24">
        <f>E$7/(BreakEvenModel!$C$10*12)/($B11-BreakEvenModel!$C$12)/BreakEvenModel!$C$13</f>
        <v>0.3523310220418287</v>
      </c>
      <c r="F11" s="24">
        <f>F$7/(BreakEvenModel!$C$10*12)/($B11-BreakEvenModel!$C$12)/BreakEvenModel!$C$13</f>
        <v>0.42279722645019446</v>
      </c>
      <c r="G11" s="24">
        <f>G$7/(BreakEvenModel!$C$10*12)/($B11-BreakEvenModel!$C$12)/BreakEvenModel!$C$13</f>
        <v>0.49326343085856017</v>
      </c>
      <c r="H11" s="24">
        <f>H$7/(BreakEvenModel!$C$10*12)/($B11-BreakEvenModel!$C$12)/BreakEvenModel!$C$13</f>
        <v>0.56372963526692588</v>
      </c>
      <c r="I11" s="24">
        <f>I$7/(BreakEvenModel!$C$10*12)/($B11-BreakEvenModel!$C$12)/BreakEvenModel!$C$13</f>
        <v>0.63419583967529169</v>
      </c>
      <c r="J11" s="24">
        <f>J$7/(BreakEvenModel!$C$10*12)/($B11-BreakEvenModel!$C$12)/BreakEvenModel!$C$13</f>
        <v>0.7046620440836574</v>
      </c>
      <c r="K11" s="24">
        <f>K$7/(BreakEvenModel!$C$10*12)/($B11-BreakEvenModel!$C$12)/BreakEvenModel!$C$13</f>
        <v>0.77512824849202322</v>
      </c>
      <c r="L11" s="24">
        <f>L$7/(BreakEvenModel!$C$10*12)/($B11-BreakEvenModel!$C$12)/BreakEvenModel!$C$13</f>
        <v>0.84559445290038893</v>
      </c>
      <c r="N11" s="29"/>
      <c r="O11" s="29"/>
      <c r="P11" s="29"/>
    </row>
    <row r="12" spans="1:25" x14ac:dyDescent="0.2">
      <c r="B12" s="23">
        <v>3.5</v>
      </c>
      <c r="C12" s="24">
        <f>C$7/(BreakEvenModel!$C$10*12)/($B12-BreakEvenModel!$C$12)/BreakEvenModel!$C$13</f>
        <v>0.1783675799086758</v>
      </c>
      <c r="D12" s="24">
        <f>D$7/(BreakEvenModel!$C$10*12)/($B12-BreakEvenModel!$C$12)/BreakEvenModel!$C$13</f>
        <v>0.23782343987823437</v>
      </c>
      <c r="E12" s="24">
        <f>E$7/(BreakEvenModel!$C$10*12)/($B12-BreakEvenModel!$C$12)/BreakEvenModel!$C$13</f>
        <v>0.297279299847793</v>
      </c>
      <c r="F12" s="24">
        <f>F$7/(BreakEvenModel!$C$10*12)/($B12-BreakEvenModel!$C$12)/BreakEvenModel!$C$13</f>
        <v>0.3567351598173516</v>
      </c>
      <c r="G12" s="24">
        <f>G$7/(BreakEvenModel!$C$10*12)/($B12-BreakEvenModel!$C$12)/BreakEvenModel!$C$13</f>
        <v>0.41619101978691014</v>
      </c>
      <c r="H12" s="24">
        <f>H$7/(BreakEvenModel!$C$10*12)/($B12-BreakEvenModel!$C$12)/BreakEvenModel!$C$13</f>
        <v>0.47564687975646874</v>
      </c>
      <c r="I12" s="24">
        <f>I$7/(BreakEvenModel!$C$10*12)/($B12-BreakEvenModel!$C$12)/BreakEvenModel!$C$13</f>
        <v>0.5351027397260274</v>
      </c>
      <c r="J12" s="24">
        <f>J$7/(BreakEvenModel!$C$10*12)/($B12-BreakEvenModel!$C$12)/BreakEvenModel!$C$13</f>
        <v>0.594558599695586</v>
      </c>
      <c r="K12" s="24">
        <f>K$7/(BreakEvenModel!$C$10*12)/($B12-BreakEvenModel!$C$12)/BreakEvenModel!$C$13</f>
        <v>0.6540144596651446</v>
      </c>
      <c r="L12" s="24">
        <f>L$7/(BreakEvenModel!$C$10*12)/($B12-BreakEvenModel!$C$12)/BreakEvenModel!$C$13</f>
        <v>0.7134703196347032</v>
      </c>
      <c r="N12" s="29"/>
      <c r="O12" s="29"/>
      <c r="P12" s="29"/>
    </row>
    <row r="13" spans="1:25" x14ac:dyDescent="0.2">
      <c r="B13" s="23">
        <v>4</v>
      </c>
      <c r="C13" s="24">
        <f>C$7/(BreakEvenModel!$C$10*12)/($B13-BreakEvenModel!$C$12)/BreakEvenModel!$C$13</f>
        <v>0.15426385289398986</v>
      </c>
      <c r="D13" s="24">
        <f>D$7/(BreakEvenModel!$C$10*12)/($B13-BreakEvenModel!$C$12)/BreakEvenModel!$C$13</f>
        <v>0.2056851371919865</v>
      </c>
      <c r="E13" s="24">
        <f>E$7/(BreakEvenModel!$C$10*12)/($B13-BreakEvenModel!$C$12)/BreakEvenModel!$C$13</f>
        <v>0.25710642148998314</v>
      </c>
      <c r="F13" s="24">
        <f>F$7/(BreakEvenModel!$C$10*12)/($B13-BreakEvenModel!$C$12)/BreakEvenModel!$C$13</f>
        <v>0.30852770578797972</v>
      </c>
      <c r="G13" s="24">
        <f>G$7/(BreakEvenModel!$C$10*12)/($B13-BreakEvenModel!$C$12)/BreakEvenModel!$C$13</f>
        <v>0.35994899008597636</v>
      </c>
      <c r="H13" s="24">
        <f>H$7/(BreakEvenModel!$C$10*12)/($B13-BreakEvenModel!$C$12)/BreakEvenModel!$C$13</f>
        <v>0.411370274383973</v>
      </c>
      <c r="I13" s="24">
        <f>I$7/(BreakEvenModel!$C$10*12)/($B13-BreakEvenModel!$C$12)/BreakEvenModel!$C$13</f>
        <v>0.46279155868196958</v>
      </c>
      <c r="J13" s="24">
        <f>J$7/(BreakEvenModel!$C$10*12)/($B13-BreakEvenModel!$C$12)/BreakEvenModel!$C$13</f>
        <v>0.51421284297996628</v>
      </c>
      <c r="K13" s="24">
        <f>K$7/(BreakEvenModel!$C$10*12)/($B13-BreakEvenModel!$C$12)/BreakEvenModel!$C$13</f>
        <v>0.56563412727796292</v>
      </c>
      <c r="L13" s="24">
        <f>L$7/(BreakEvenModel!$C$10*12)/($B13-BreakEvenModel!$C$12)/BreakEvenModel!$C$13</f>
        <v>0.61705541157595944</v>
      </c>
      <c r="N13" s="29"/>
      <c r="O13" s="29"/>
      <c r="P13" s="29"/>
    </row>
    <row r="14" spans="1:25" x14ac:dyDescent="0.2">
      <c r="B14" s="23">
        <v>4.5</v>
      </c>
      <c r="C14" s="24">
        <f>C$7/(BreakEvenModel!$C$10*12)/($B14-BreakEvenModel!$C$12)/BreakEvenModel!$C$13</f>
        <v>0.13589910850184822</v>
      </c>
      <c r="D14" s="24">
        <f>D$7/(BreakEvenModel!$C$10*12)/($B14-BreakEvenModel!$C$12)/BreakEvenModel!$C$13</f>
        <v>0.18119881133579765</v>
      </c>
      <c r="E14" s="24">
        <f>E$7/(BreakEvenModel!$C$10*12)/($B14-BreakEvenModel!$C$12)/BreakEvenModel!$C$13</f>
        <v>0.22649851416974703</v>
      </c>
      <c r="F14" s="24">
        <f>F$7/(BreakEvenModel!$C$10*12)/($B14-BreakEvenModel!$C$12)/BreakEvenModel!$C$13</f>
        <v>0.27179821700369644</v>
      </c>
      <c r="G14" s="24">
        <f>G$7/(BreakEvenModel!$C$10*12)/($B14-BreakEvenModel!$C$12)/BreakEvenModel!$C$13</f>
        <v>0.31709791983764585</v>
      </c>
      <c r="H14" s="24">
        <f>H$7/(BreakEvenModel!$C$10*12)/($B14-BreakEvenModel!$C$12)/BreakEvenModel!$C$13</f>
        <v>0.36239762267159531</v>
      </c>
      <c r="I14" s="24">
        <f>I$7/(BreakEvenModel!$C$10*12)/($B14-BreakEvenModel!$C$12)/BreakEvenModel!$C$13</f>
        <v>0.40769732550554466</v>
      </c>
      <c r="J14" s="24">
        <f>J$7/(BreakEvenModel!$C$10*12)/($B14-BreakEvenModel!$C$12)/BreakEvenModel!$C$13</f>
        <v>0.45299702833949407</v>
      </c>
      <c r="K14" s="24">
        <f>K$7/(BreakEvenModel!$C$10*12)/($B14-BreakEvenModel!$C$12)/BreakEvenModel!$C$13</f>
        <v>0.49829673117344353</v>
      </c>
      <c r="L14" s="24">
        <f>L$7/(BreakEvenModel!$C$10*12)/($B14-BreakEvenModel!$C$12)/BreakEvenModel!$C$13</f>
        <v>0.54359643400739288</v>
      </c>
      <c r="N14" s="29"/>
      <c r="O14" s="29"/>
      <c r="P14" s="29"/>
    </row>
    <row r="15" spans="1:25" x14ac:dyDescent="0.2">
      <c r="B15" s="23">
        <v>5</v>
      </c>
      <c r="C15" s="24">
        <f>C$7/(BreakEvenModel!$C$10*12)/($B15-BreakEvenModel!$C$12)/BreakEvenModel!$C$13</f>
        <v>0.12144175653356651</v>
      </c>
      <c r="D15" s="24">
        <f>D$7/(BreakEvenModel!$C$10*12)/($B15-BreakEvenModel!$C$12)/BreakEvenModel!$C$13</f>
        <v>0.16192234204475531</v>
      </c>
      <c r="E15" s="24">
        <f>E$7/(BreakEvenModel!$C$10*12)/($B15-BreakEvenModel!$C$12)/BreakEvenModel!$C$13</f>
        <v>0.20240292755594413</v>
      </c>
      <c r="F15" s="24">
        <f>F$7/(BreakEvenModel!$C$10*12)/($B15-BreakEvenModel!$C$12)/BreakEvenModel!$C$13</f>
        <v>0.24288351306713302</v>
      </c>
      <c r="G15" s="24">
        <f>G$7/(BreakEvenModel!$C$10*12)/($B15-BreakEvenModel!$C$12)/BreakEvenModel!$C$13</f>
        <v>0.28336409857832179</v>
      </c>
      <c r="H15" s="24">
        <f>H$7/(BreakEvenModel!$C$10*12)/($B15-BreakEvenModel!$C$12)/BreakEvenModel!$C$13</f>
        <v>0.32384468408951061</v>
      </c>
      <c r="I15" s="24">
        <f>I$7/(BreakEvenModel!$C$10*12)/($B15-BreakEvenModel!$C$12)/BreakEvenModel!$C$13</f>
        <v>0.36432526960069944</v>
      </c>
      <c r="J15" s="24">
        <f>J$7/(BreakEvenModel!$C$10*12)/($B15-BreakEvenModel!$C$12)/BreakEvenModel!$C$13</f>
        <v>0.40480585511188827</v>
      </c>
      <c r="K15" s="24">
        <f>K$7/(BreakEvenModel!$C$10*12)/($B15-BreakEvenModel!$C$12)/BreakEvenModel!$C$13</f>
        <v>0.44528644062307721</v>
      </c>
      <c r="L15" s="24">
        <f>L$7/(BreakEvenModel!$C$10*12)/($B15-BreakEvenModel!$C$12)/BreakEvenModel!$C$13</f>
        <v>0.48576702613426603</v>
      </c>
      <c r="N15" s="29"/>
      <c r="O15" s="29"/>
      <c r="P15" s="29"/>
    </row>
    <row r="16" spans="1:25" x14ac:dyDescent="0.2">
      <c r="B16" s="23">
        <v>5.5</v>
      </c>
      <c r="C16" s="24">
        <f>C$7/(BreakEvenModel!$C$10*12)/($B16-BreakEvenModel!$C$12)/BreakEvenModel!$C$13</f>
        <v>0.1097646645591851</v>
      </c>
      <c r="D16" s="24">
        <f>D$7/(BreakEvenModel!$C$10*12)/($B16-BreakEvenModel!$C$12)/BreakEvenModel!$C$13</f>
        <v>0.14635288607891347</v>
      </c>
      <c r="E16" s="24">
        <f>E$7/(BreakEvenModel!$C$10*12)/($B16-BreakEvenModel!$C$12)/BreakEvenModel!$C$13</f>
        <v>0.18294110759864185</v>
      </c>
      <c r="F16" s="24">
        <f>F$7/(BreakEvenModel!$C$10*12)/($B16-BreakEvenModel!$C$12)/BreakEvenModel!$C$13</f>
        <v>0.2195293291183702</v>
      </c>
      <c r="G16" s="24">
        <f>G$7/(BreakEvenModel!$C$10*12)/($B16-BreakEvenModel!$C$12)/BreakEvenModel!$C$13</f>
        <v>0.25611755063809855</v>
      </c>
      <c r="H16" s="24">
        <f>H$7/(BreakEvenModel!$C$10*12)/($B16-BreakEvenModel!$C$12)/BreakEvenModel!$C$13</f>
        <v>0.29270577215782695</v>
      </c>
      <c r="I16" s="24">
        <f>I$7/(BreakEvenModel!$C$10*12)/($B16-BreakEvenModel!$C$12)/BreakEvenModel!$C$13</f>
        <v>0.3292939936775553</v>
      </c>
      <c r="J16" s="24">
        <f>J$7/(BreakEvenModel!$C$10*12)/($B16-BreakEvenModel!$C$12)/BreakEvenModel!$C$13</f>
        <v>0.3658822151972837</v>
      </c>
      <c r="K16" s="24">
        <f>K$7/(BreakEvenModel!$C$10*12)/($B16-BreakEvenModel!$C$12)/BreakEvenModel!$C$13</f>
        <v>0.4024704367170121</v>
      </c>
      <c r="L16" s="24">
        <f>L$7/(BreakEvenModel!$C$10*12)/($B16-BreakEvenModel!$C$12)/BreakEvenModel!$C$13</f>
        <v>0.4390586582367404</v>
      </c>
      <c r="N16" s="29"/>
      <c r="O16" s="29"/>
      <c r="P16" s="29"/>
    </row>
    <row r="17" spans="2:12" x14ac:dyDescent="0.2">
      <c r="B17" s="23">
        <v>6</v>
      </c>
      <c r="C17" s="24">
        <f>C$7/(BreakEvenModel!$C$10*12)/($B17-BreakEvenModel!$C$12)/BreakEvenModel!$C$13</f>
        <v>0.10013618521188818</v>
      </c>
      <c r="D17" s="24">
        <f>D$7/(BreakEvenModel!$C$10*12)/($B17-BreakEvenModel!$C$12)/BreakEvenModel!$C$13</f>
        <v>0.13351491361585088</v>
      </c>
      <c r="E17" s="24">
        <f>E$7/(BreakEvenModel!$C$10*12)/($B17-BreakEvenModel!$C$12)/BreakEvenModel!$C$13</f>
        <v>0.1668936420198136</v>
      </c>
      <c r="F17" s="24">
        <f>F$7/(BreakEvenModel!$C$10*12)/($B17-BreakEvenModel!$C$12)/BreakEvenModel!$C$13</f>
        <v>0.20027237042377635</v>
      </c>
      <c r="G17" s="24">
        <f>G$7/(BreakEvenModel!$C$10*12)/($B17-BreakEvenModel!$C$12)/BreakEvenModel!$C$13</f>
        <v>0.23365109882773905</v>
      </c>
      <c r="H17" s="24">
        <f>H$7/(BreakEvenModel!$C$10*12)/($B17-BreakEvenModel!$C$12)/BreakEvenModel!$C$13</f>
        <v>0.26702982723170177</v>
      </c>
      <c r="I17" s="24">
        <f>I$7/(BreakEvenModel!$C$10*12)/($B17-BreakEvenModel!$C$12)/BreakEvenModel!$C$13</f>
        <v>0.30040855563566449</v>
      </c>
      <c r="J17" s="24">
        <f>J$7/(BreakEvenModel!$C$10*12)/($B17-BreakEvenModel!$C$12)/BreakEvenModel!$C$13</f>
        <v>0.33378728403962721</v>
      </c>
      <c r="K17" s="24">
        <f>K$7/(BreakEvenModel!$C$10*12)/($B17-BreakEvenModel!$C$12)/BreakEvenModel!$C$13</f>
        <v>0.36716601244358993</v>
      </c>
      <c r="L17" s="24">
        <f>L$7/(BreakEvenModel!$C$10*12)/($B17-BreakEvenModel!$C$12)/BreakEvenModel!$C$13</f>
        <v>0.4005447408475527</v>
      </c>
    </row>
  </sheetData>
  <mergeCells count="4">
    <mergeCell ref="A1:Y3"/>
    <mergeCell ref="A4:Y4"/>
    <mergeCell ref="A5:Y5"/>
    <mergeCell ref="N8:P16"/>
  </mergeCells>
  <conditionalFormatting sqref="C8:L17">
    <cfRule type="colorScale" priority="1">
      <colorScale>
        <cfvo type="min"/>
        <cfvo type="percentile" val="50"/>
        <cfvo type="max"/>
        <color theme="9" tint="0.39997558519241921"/>
        <color rgb="FFFFEB84"/>
        <color rgb="FFC9391B"/>
      </colorScale>
    </cfRule>
    <cfRule type="colorScale" priority="2">
      <colorScale>
        <cfvo type="min"/>
        <cfvo type="percentile" val="50"/>
        <cfvo type="max"/>
        <color rgb="FFFF7128"/>
        <color rgb="FFFFEB84"/>
        <color rgb="FF92D050"/>
      </colorScale>
    </cfRule>
    <cfRule type="colorScale" priority="3">
      <colorScale>
        <cfvo type="min"/>
        <cfvo type="max"/>
        <color rgb="FFFF7128"/>
        <color theme="9" tint="0.39997558519241921"/>
      </colorScale>
    </cfRule>
    <cfRule type="colorScale" priority="4">
      <colorScale>
        <cfvo type="percent" val="0"/>
        <cfvo type="percent" val="2"/>
        <color rgb="FFFF7128"/>
        <color theme="9" tint="0.39997558519241921"/>
      </colorScale>
    </cfRule>
    <cfRule type="colorScale" priority="6">
      <colorScale>
        <cfvo type="percent" val="0"/>
        <cfvo type="percent" val="100"/>
        <color rgb="FFFF7128"/>
        <color rgb="FFFFEF9C"/>
      </colorScale>
    </cfRule>
    <cfRule type="colorScale" priority="7">
      <colorScale>
        <cfvo type="min"/>
        <cfvo type="percent" val="100"/>
        <color rgb="FFFF7128"/>
        <color rgb="FFFFEF9C"/>
      </colorScale>
    </cfRule>
    <cfRule type="colorScale" priority="8">
      <colorScale>
        <cfvo type="min"/>
        <cfvo type="max"/>
        <color rgb="FFFF7128"/>
        <color theme="9" tint="0.59999389629810485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E03CEACB0B724C9384878E64542650" ma:contentTypeVersion="15" ma:contentTypeDescription="Create a new document." ma:contentTypeScope="" ma:versionID="9eba6377983d91ea4bc788a0f50375d6">
  <xsd:schema xmlns:xsd="http://www.w3.org/2001/XMLSchema" xmlns:xs="http://www.w3.org/2001/XMLSchema" xmlns:p="http://schemas.microsoft.com/office/2006/metadata/properties" xmlns:ns3="4100d6d4-8bb5-430a-8ffd-c376b3a15adb" xmlns:ns4="fe3c4e1f-9d27-41d5-b143-c9cfed9f43a5" targetNamespace="http://schemas.microsoft.com/office/2006/metadata/properties" ma:root="true" ma:fieldsID="da16b15f0dfb036e3ebbdfdf2e785a4a" ns3:_="" ns4:_="">
    <xsd:import namespace="4100d6d4-8bb5-430a-8ffd-c376b3a15adb"/>
    <xsd:import namespace="fe3c4e1f-9d27-41d5-b143-c9cfed9f43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00d6d4-8bb5-430a-8ffd-c376b3a15a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3c4e1f-9d27-41d5-b143-c9cfed9f43a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100d6d4-8bb5-430a-8ffd-c376b3a15adb" xsi:nil="true"/>
  </documentManagement>
</p:properties>
</file>

<file path=customXml/itemProps1.xml><?xml version="1.0" encoding="utf-8"?>
<ds:datastoreItem xmlns:ds="http://schemas.openxmlformats.org/officeDocument/2006/customXml" ds:itemID="{0E7123B8-4E48-4137-96FF-D5B9DD033D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00d6d4-8bb5-430a-8ffd-c376b3a15adb"/>
    <ds:schemaRef ds:uri="fe3c4e1f-9d27-41d5-b143-c9cfed9f43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BE4D483-9659-48CC-8936-6DB093D9877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F50283-3459-4837-804E-4ECF86D9DB69}">
  <ds:schemaRefs>
    <ds:schemaRef ds:uri="http://purl.org/dc/elements/1.1/"/>
    <ds:schemaRef ds:uri="fe3c4e1f-9d27-41d5-b143-c9cfed9f43a5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4100d6d4-8bb5-430a-8ffd-c376b3a15adb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BreakEvenModel</vt:lpstr>
      <vt:lpstr>SensitivityAnalysis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Amin-Tehrani, Darius</dc:creator>
  <cp:lastModifiedBy>Amin-Tehrani, Darius</cp:lastModifiedBy>
  <dcterms:created xsi:type="dcterms:W3CDTF">2026-08-06T18:42:26Z</dcterms:created>
  <dcterms:modified xsi:type="dcterms:W3CDTF">2026-08-17T19:39:07Z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0x01010043E03CEACB0B724C9384878E64542650</vt:lpwstr>
  </property>
</Properties>
</file>