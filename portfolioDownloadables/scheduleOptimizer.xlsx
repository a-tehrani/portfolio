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iu\Downloads\"/>
    </mc:Choice>
  </mc:AlternateContent>
  <xr:revisionPtr revIDLastSave="0" documentId="13_ncr:1_{450E5ADB-2922-4E84-BA71-E2020611B88D}" xr6:coauthVersionLast="47" xr6:coauthVersionMax="47" xr10:uidLastSave="{00000000-0000-0000-0000-000000000000}"/>
  <bookViews>
    <workbookView xWindow="-120" yWindow="-120" windowWidth="29040" windowHeight="15840" activeTab="2" xr2:uid="{991AB4DB-3614-4BF5-8B9D-AF1472AD8FDE}"/>
  </bookViews>
  <sheets>
    <sheet name="Part (1)" sheetId="1" r:id="rId1"/>
    <sheet name="Part (2)" sheetId="2" r:id="rId2"/>
    <sheet name="Part (3)" sheetId="3" r:id="rId3"/>
    <sheet name="K304" sheetId="4" r:id="rId4"/>
    <sheet name="K327" sheetId="5" r:id="rId5"/>
    <sheet name="K353" sheetId="6" r:id="rId6"/>
    <sheet name="Class list and cell link" sheetId="7" r:id="rId7"/>
  </sheets>
  <definedNames>
    <definedName name="K304St">'K304'!$C$31:$AF$54</definedName>
    <definedName name="K304TA">'K304'!$C$3:$G$26</definedName>
    <definedName name="K327St">'K327'!$C$31:$AF$54</definedName>
    <definedName name="K327TA">'K327'!$C$3:$G$26</definedName>
    <definedName name="K353St">'K353'!$C$31:$AF$54</definedName>
    <definedName name="K353TA">'K353'!$C$3:$G$26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7" i="1" l="1"/>
  <c r="K6" i="1"/>
  <c r="F7" i="1"/>
  <c r="F6" i="1"/>
  <c r="O35" i="3"/>
  <c r="N35" i="3"/>
  <c r="M35" i="3"/>
  <c r="L35" i="3"/>
  <c r="K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AE12" i="3"/>
  <c r="F7" i="3" s="1"/>
  <c r="P12" i="3"/>
  <c r="AE11" i="3"/>
  <c r="P11" i="3"/>
  <c r="F6" i="3"/>
  <c r="K3" i="3"/>
  <c r="F3" i="3"/>
  <c r="K2" i="3"/>
  <c r="F2" i="3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AG62" i="2"/>
  <c r="AG61" i="2"/>
  <c r="AG60" i="2"/>
  <c r="AG59" i="2"/>
  <c r="AG58" i="2"/>
  <c r="AG57" i="2"/>
  <c r="AG56" i="2"/>
  <c r="AG55" i="2"/>
  <c r="AG54" i="2"/>
  <c r="AG53" i="2"/>
  <c r="AG52" i="2"/>
  <c r="AG51" i="2"/>
  <c r="AG50" i="2"/>
  <c r="AG49" i="2"/>
  <c r="AG48" i="2"/>
  <c r="AG47" i="2"/>
  <c r="AG46" i="2"/>
  <c r="AG45" i="2"/>
  <c r="AG44" i="2"/>
  <c r="AG43" i="2"/>
  <c r="AG42" i="2"/>
  <c r="AG41" i="2"/>
  <c r="AG40" i="2"/>
  <c r="AG39" i="2"/>
  <c r="Q35" i="2"/>
  <c r="S4" i="2" s="1"/>
  <c r="O35" i="2"/>
  <c r="N35" i="2"/>
  <c r="M35" i="2"/>
  <c r="L35" i="2"/>
  <c r="K35" i="2"/>
  <c r="X34" i="2"/>
  <c r="W34" i="2"/>
  <c r="V34" i="2"/>
  <c r="U34" i="2"/>
  <c r="T34" i="2"/>
  <c r="P34" i="2"/>
  <c r="F3" i="2" s="1"/>
  <c r="X33" i="2"/>
  <c r="W33" i="2"/>
  <c r="V33" i="2"/>
  <c r="U33" i="2"/>
  <c r="T33" i="2"/>
  <c r="P33" i="2"/>
  <c r="X32" i="2"/>
  <c r="W32" i="2"/>
  <c r="V32" i="2"/>
  <c r="U32" i="2"/>
  <c r="T32" i="2"/>
  <c r="P32" i="2"/>
  <c r="X31" i="2"/>
  <c r="W31" i="2"/>
  <c r="V31" i="2"/>
  <c r="U31" i="2"/>
  <c r="T31" i="2"/>
  <c r="P31" i="2"/>
  <c r="X30" i="2"/>
  <c r="W30" i="2"/>
  <c r="V30" i="2"/>
  <c r="U30" i="2"/>
  <c r="T30" i="2"/>
  <c r="P30" i="2"/>
  <c r="X29" i="2"/>
  <c r="W29" i="2"/>
  <c r="V29" i="2"/>
  <c r="U29" i="2"/>
  <c r="T29" i="2"/>
  <c r="P29" i="2"/>
  <c r="X28" i="2"/>
  <c r="W28" i="2"/>
  <c r="V28" i="2"/>
  <c r="U28" i="2"/>
  <c r="T28" i="2"/>
  <c r="P28" i="2"/>
  <c r="X27" i="2"/>
  <c r="W27" i="2"/>
  <c r="V27" i="2"/>
  <c r="U27" i="2"/>
  <c r="T27" i="2"/>
  <c r="P27" i="2"/>
  <c r="X26" i="2"/>
  <c r="W26" i="2"/>
  <c r="V26" i="2"/>
  <c r="U26" i="2"/>
  <c r="T26" i="2"/>
  <c r="P26" i="2"/>
  <c r="X25" i="2"/>
  <c r="W25" i="2"/>
  <c r="V25" i="2"/>
  <c r="U25" i="2"/>
  <c r="T25" i="2"/>
  <c r="P25" i="2"/>
  <c r="X24" i="2"/>
  <c r="W24" i="2"/>
  <c r="V24" i="2"/>
  <c r="U24" i="2"/>
  <c r="T24" i="2"/>
  <c r="P24" i="2"/>
  <c r="X23" i="2"/>
  <c r="W23" i="2"/>
  <c r="V23" i="2"/>
  <c r="U23" i="2"/>
  <c r="T23" i="2"/>
  <c r="P23" i="2"/>
  <c r="X22" i="2"/>
  <c r="W22" i="2"/>
  <c r="V22" i="2"/>
  <c r="U22" i="2"/>
  <c r="T22" i="2"/>
  <c r="P22" i="2"/>
  <c r="X21" i="2"/>
  <c r="W21" i="2"/>
  <c r="V21" i="2"/>
  <c r="U21" i="2"/>
  <c r="T21" i="2"/>
  <c r="P21" i="2"/>
  <c r="X20" i="2"/>
  <c r="W20" i="2"/>
  <c r="V20" i="2"/>
  <c r="U20" i="2"/>
  <c r="T20" i="2"/>
  <c r="P20" i="2"/>
  <c r="X19" i="2"/>
  <c r="W19" i="2"/>
  <c r="V19" i="2"/>
  <c r="U19" i="2"/>
  <c r="T19" i="2"/>
  <c r="P19" i="2"/>
  <c r="X18" i="2"/>
  <c r="W18" i="2"/>
  <c r="V18" i="2"/>
  <c r="U18" i="2"/>
  <c r="T18" i="2"/>
  <c r="P18" i="2"/>
  <c r="Q66" i="2" s="1"/>
  <c r="X17" i="2"/>
  <c r="W17" i="2"/>
  <c r="V17" i="2"/>
  <c r="U17" i="2"/>
  <c r="T17" i="2"/>
  <c r="P17" i="2"/>
  <c r="X16" i="2"/>
  <c r="W16" i="2"/>
  <c r="N9" i="2" s="1"/>
  <c r="K7" i="2" s="1"/>
  <c r="V16" i="2"/>
  <c r="U16" i="2"/>
  <c r="T16" i="2"/>
  <c r="P16" i="2"/>
  <c r="X15" i="2"/>
  <c r="W15" i="2"/>
  <c r="V15" i="2"/>
  <c r="U15" i="2"/>
  <c r="T15" i="2"/>
  <c r="P15" i="2"/>
  <c r="X14" i="2"/>
  <c r="W14" i="2"/>
  <c r="V14" i="2"/>
  <c r="U14" i="2"/>
  <c r="T14" i="2"/>
  <c r="P14" i="2"/>
  <c r="X13" i="2"/>
  <c r="W13" i="2"/>
  <c r="V13" i="2"/>
  <c r="M9" i="2" s="1"/>
  <c r="U13" i="2"/>
  <c r="T13" i="2"/>
  <c r="P13" i="2"/>
  <c r="AA12" i="2"/>
  <c r="F7" i="2" s="1"/>
  <c r="X12" i="2"/>
  <c r="W12" i="2"/>
  <c r="V12" i="2"/>
  <c r="U12" i="2"/>
  <c r="T12" i="2"/>
  <c r="P12" i="2"/>
  <c r="AB66" i="2" s="1"/>
  <c r="AA11" i="2"/>
  <c r="X11" i="2"/>
  <c r="W11" i="2"/>
  <c r="V11" i="2"/>
  <c r="U11" i="2"/>
  <c r="T11" i="2"/>
  <c r="K9" i="2" s="1"/>
  <c r="K6" i="2" s="1"/>
  <c r="P11" i="2"/>
  <c r="AF66" i="2" s="1"/>
  <c r="S3" i="2" s="1"/>
  <c r="L9" i="2"/>
  <c r="F6" i="2"/>
  <c r="K3" i="2"/>
  <c r="K2" i="2"/>
  <c r="F2" i="2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G44" i="1"/>
  <c r="AG43" i="1"/>
  <c r="AG42" i="1"/>
  <c r="AG41" i="1"/>
  <c r="AG40" i="1"/>
  <c r="AG39" i="1"/>
  <c r="O35" i="1"/>
  <c r="N35" i="1"/>
  <c r="M35" i="1"/>
  <c r="L35" i="1"/>
  <c r="K35" i="1"/>
  <c r="K2" i="1" s="1"/>
  <c r="X34" i="1"/>
  <c r="W34" i="1"/>
  <c r="V34" i="1"/>
  <c r="U34" i="1"/>
  <c r="T34" i="1"/>
  <c r="P34" i="1"/>
  <c r="F3" i="1" s="1"/>
  <c r="X33" i="1"/>
  <c r="W33" i="1"/>
  <c r="V33" i="1"/>
  <c r="U33" i="1"/>
  <c r="T33" i="1"/>
  <c r="P33" i="1"/>
  <c r="X32" i="1"/>
  <c r="W32" i="1"/>
  <c r="V32" i="1"/>
  <c r="U32" i="1"/>
  <c r="T32" i="1"/>
  <c r="P32" i="1"/>
  <c r="X31" i="1"/>
  <c r="W31" i="1"/>
  <c r="V31" i="1"/>
  <c r="U31" i="1"/>
  <c r="T31" i="1"/>
  <c r="P31" i="1"/>
  <c r="X30" i="1"/>
  <c r="W30" i="1"/>
  <c r="V30" i="1"/>
  <c r="U30" i="1"/>
  <c r="T30" i="1"/>
  <c r="P30" i="1"/>
  <c r="X29" i="1"/>
  <c r="W29" i="1"/>
  <c r="V29" i="1"/>
  <c r="U29" i="1"/>
  <c r="T29" i="1"/>
  <c r="P29" i="1"/>
  <c r="X28" i="1"/>
  <c r="W28" i="1"/>
  <c r="V28" i="1"/>
  <c r="U28" i="1"/>
  <c r="T28" i="1"/>
  <c r="P28" i="1"/>
  <c r="X27" i="1"/>
  <c r="W27" i="1"/>
  <c r="V27" i="1"/>
  <c r="U27" i="1"/>
  <c r="T27" i="1"/>
  <c r="P27" i="1"/>
  <c r="X26" i="1"/>
  <c r="W26" i="1"/>
  <c r="V26" i="1"/>
  <c r="U26" i="1"/>
  <c r="T26" i="1"/>
  <c r="P26" i="1"/>
  <c r="X25" i="1"/>
  <c r="W25" i="1"/>
  <c r="V25" i="1"/>
  <c r="U25" i="1"/>
  <c r="T25" i="1"/>
  <c r="P25" i="1"/>
  <c r="X24" i="1"/>
  <c r="W24" i="1"/>
  <c r="V24" i="1"/>
  <c r="U24" i="1"/>
  <c r="T24" i="1"/>
  <c r="P24" i="1"/>
  <c r="X23" i="1"/>
  <c r="W23" i="1"/>
  <c r="V23" i="1"/>
  <c r="U23" i="1"/>
  <c r="T23" i="1"/>
  <c r="P23" i="1"/>
  <c r="X22" i="1"/>
  <c r="W22" i="1"/>
  <c r="V22" i="1"/>
  <c r="U22" i="1"/>
  <c r="T22" i="1"/>
  <c r="P22" i="1"/>
  <c r="X21" i="1"/>
  <c r="W21" i="1"/>
  <c r="V21" i="1"/>
  <c r="U21" i="1"/>
  <c r="T21" i="1"/>
  <c r="P21" i="1"/>
  <c r="X20" i="1"/>
  <c r="W20" i="1"/>
  <c r="V20" i="1"/>
  <c r="U20" i="1"/>
  <c r="T20" i="1"/>
  <c r="P20" i="1"/>
  <c r="X19" i="1"/>
  <c r="W19" i="1"/>
  <c r="V19" i="1"/>
  <c r="U19" i="1"/>
  <c r="T19" i="1"/>
  <c r="P19" i="1"/>
  <c r="X18" i="1"/>
  <c r="W18" i="1"/>
  <c r="V18" i="1"/>
  <c r="U18" i="1"/>
  <c r="T18" i="1"/>
  <c r="P18" i="1"/>
  <c r="X17" i="1"/>
  <c r="W17" i="1"/>
  <c r="V17" i="1"/>
  <c r="U17" i="1"/>
  <c r="T17" i="1"/>
  <c r="P17" i="1"/>
  <c r="X16" i="1"/>
  <c r="W16" i="1"/>
  <c r="V16" i="1"/>
  <c r="U16" i="1"/>
  <c r="T16" i="1"/>
  <c r="P16" i="1"/>
  <c r="X15" i="1"/>
  <c r="W15" i="1"/>
  <c r="V15" i="1"/>
  <c r="U15" i="1"/>
  <c r="T15" i="1"/>
  <c r="P15" i="1"/>
  <c r="X14" i="1"/>
  <c r="W14" i="1"/>
  <c r="V14" i="1"/>
  <c r="U14" i="1"/>
  <c r="T14" i="1"/>
  <c r="P14" i="1"/>
  <c r="X13" i="1"/>
  <c r="W13" i="1"/>
  <c r="V13" i="1"/>
  <c r="U13" i="1"/>
  <c r="T13" i="1"/>
  <c r="P13" i="1"/>
  <c r="X12" i="1"/>
  <c r="W12" i="1"/>
  <c r="V12" i="1"/>
  <c r="U12" i="1"/>
  <c r="T12" i="1"/>
  <c r="P12" i="1"/>
  <c r="X11" i="1"/>
  <c r="W11" i="1"/>
  <c r="Q35" i="1" s="1"/>
  <c r="S4" i="1" s="1"/>
  <c r="V11" i="1"/>
  <c r="U11" i="1"/>
  <c r="T11" i="1"/>
  <c r="P11" i="1"/>
  <c r="AF66" i="1" s="1"/>
  <c r="S3" i="1" s="1"/>
  <c r="K3" i="1"/>
  <c r="C39" i="3" a="1"/>
  <c r="C11" i="3" a="1"/>
  <c r="C39" i="3" l="1"/>
  <c r="C11" i="3"/>
  <c r="X11" i="3" s="1"/>
  <c r="AF66" i="3"/>
  <c r="S3" i="3" s="1"/>
  <c r="P66" i="3"/>
  <c r="AD63" i="3"/>
  <c r="N63" i="3"/>
  <c r="AG58" i="3"/>
  <c r="AG42" i="3"/>
  <c r="AE66" i="3"/>
  <c r="AC63" i="3"/>
  <c r="M63" i="3"/>
  <c r="AG57" i="3"/>
  <c r="AG41" i="3"/>
  <c r="L63" i="3"/>
  <c r="O66" i="3"/>
  <c r="AD66" i="3"/>
  <c r="N66" i="3"/>
  <c r="AB63" i="3"/>
  <c r="AG56" i="3"/>
  <c r="AG40" i="3"/>
  <c r="AA63" i="3"/>
  <c r="K63" i="3"/>
  <c r="AG55" i="3"/>
  <c r="Z63" i="3"/>
  <c r="J63" i="3"/>
  <c r="AG54" i="3"/>
  <c r="C66" i="3"/>
  <c r="S2" i="3" s="1"/>
  <c r="E66" i="3"/>
  <c r="AG59" i="3"/>
  <c r="Y63" i="3"/>
  <c r="I63" i="3"/>
  <c r="AG53" i="3"/>
  <c r="AG47" i="3"/>
  <c r="R63" i="3"/>
  <c r="X63" i="3"/>
  <c r="H63" i="3"/>
  <c r="AG52" i="3"/>
  <c r="S63" i="3"/>
  <c r="AG62" i="3"/>
  <c r="AG43" i="3"/>
  <c r="W63" i="3"/>
  <c r="G63" i="3"/>
  <c r="AG51" i="3"/>
  <c r="V63" i="3"/>
  <c r="F63" i="3"/>
  <c r="AG50" i="3"/>
  <c r="W66" i="3"/>
  <c r="G66" i="3"/>
  <c r="U63" i="3"/>
  <c r="E63" i="3"/>
  <c r="AG49" i="3"/>
  <c r="AG46" i="3"/>
  <c r="T63" i="3"/>
  <c r="D63" i="3"/>
  <c r="AG48" i="3"/>
  <c r="U66" i="3"/>
  <c r="D66" i="3"/>
  <c r="T66" i="3"/>
  <c r="Q63" i="3"/>
  <c r="AG61" i="3"/>
  <c r="AG45" i="3"/>
  <c r="R66" i="3"/>
  <c r="AF63" i="3"/>
  <c r="P63" i="3"/>
  <c r="AG60" i="3"/>
  <c r="AG44" i="3"/>
  <c r="Q66" i="3"/>
  <c r="AE63" i="3"/>
  <c r="O63" i="3"/>
  <c r="X34" i="3"/>
  <c r="Z31" i="3"/>
  <c r="AB28" i="3"/>
  <c r="X26" i="3"/>
  <c r="Z23" i="3"/>
  <c r="AB20" i="3"/>
  <c r="X18" i="3"/>
  <c r="Z15" i="3"/>
  <c r="Y31" i="3"/>
  <c r="Y23" i="3"/>
  <c r="AA20" i="3"/>
  <c r="AA28" i="3"/>
  <c r="Y15" i="3"/>
  <c r="AB33" i="3"/>
  <c r="X31" i="3"/>
  <c r="Z28" i="3"/>
  <c r="AB25" i="3"/>
  <c r="X23" i="3"/>
  <c r="Z20" i="3"/>
  <c r="AB17" i="3"/>
  <c r="AA33" i="3"/>
  <c r="Y28" i="3"/>
  <c r="AA25" i="3"/>
  <c r="Y20" i="3"/>
  <c r="AA17" i="3"/>
  <c r="AA12" i="3"/>
  <c r="Y19" i="3"/>
  <c r="Z11" i="3"/>
  <c r="Y18" i="3"/>
  <c r="Z33" i="3"/>
  <c r="AB30" i="3"/>
  <c r="X28" i="3"/>
  <c r="Z25" i="3"/>
  <c r="AB22" i="3"/>
  <c r="X20" i="3"/>
  <c r="Z17" i="3"/>
  <c r="AB14" i="3"/>
  <c r="Z12" i="3"/>
  <c r="AA16" i="3"/>
  <c r="X32" i="3"/>
  <c r="Y33" i="3"/>
  <c r="AA30" i="3"/>
  <c r="Y25" i="3"/>
  <c r="AA22" i="3"/>
  <c r="Y17" i="3"/>
  <c r="AA14" i="3"/>
  <c r="Y12" i="3"/>
  <c r="Y27" i="3"/>
  <c r="AB26" i="3"/>
  <c r="AB18" i="3"/>
  <c r="X16" i="3"/>
  <c r="Y11" i="3"/>
  <c r="Y34" i="3"/>
  <c r="X33" i="3"/>
  <c r="Z30" i="3"/>
  <c r="AB27" i="3"/>
  <c r="X25" i="3"/>
  <c r="Z22" i="3"/>
  <c r="AB19" i="3"/>
  <c r="X17" i="3"/>
  <c r="Z14" i="3"/>
  <c r="X12" i="3"/>
  <c r="AA24" i="3"/>
  <c r="X24" i="3"/>
  <c r="AA13" i="3"/>
  <c r="Y30" i="3"/>
  <c r="AA27" i="3"/>
  <c r="Y22" i="3"/>
  <c r="AA19" i="3"/>
  <c r="Y14" i="3"/>
  <c r="AB13" i="3"/>
  <c r="Z29" i="3"/>
  <c r="AB32" i="3"/>
  <c r="X30" i="3"/>
  <c r="Z27" i="3"/>
  <c r="AB24" i="3"/>
  <c r="X22" i="3"/>
  <c r="Z19" i="3"/>
  <c r="AB16" i="3"/>
  <c r="X14" i="3"/>
  <c r="AA32" i="3"/>
  <c r="Y32" i="3"/>
  <c r="AB34" i="3"/>
  <c r="AB11" i="3"/>
  <c r="AA23" i="3"/>
  <c r="Z32" i="3"/>
  <c r="AB29" i="3"/>
  <c r="X27" i="3"/>
  <c r="Z24" i="3"/>
  <c r="AB21" i="3"/>
  <c r="X19" i="3"/>
  <c r="Z16" i="3"/>
  <c r="AA11" i="3"/>
  <c r="AA29" i="3"/>
  <c r="Y24" i="3"/>
  <c r="AA21" i="3"/>
  <c r="Y16" i="3"/>
  <c r="Z21" i="3"/>
  <c r="AB12" i="3"/>
  <c r="AA34" i="3"/>
  <c r="Y29" i="3"/>
  <c r="AA26" i="3"/>
  <c r="Y21" i="3"/>
  <c r="AA18" i="3"/>
  <c r="Z13" i="3"/>
  <c r="Z34" i="3"/>
  <c r="AB31" i="3"/>
  <c r="X29" i="3"/>
  <c r="Z26" i="3"/>
  <c r="AB23" i="3"/>
  <c r="X21" i="3"/>
  <c r="Z18" i="3"/>
  <c r="AB15" i="3"/>
  <c r="Y13" i="3"/>
  <c r="AA31" i="3"/>
  <c r="Y26" i="3"/>
  <c r="AA15" i="3"/>
  <c r="X13" i="3"/>
  <c r="X15" i="3"/>
  <c r="AC66" i="3"/>
  <c r="S66" i="3"/>
  <c r="AE13" i="3"/>
  <c r="F66" i="3"/>
  <c r="V66" i="3"/>
  <c r="H66" i="3"/>
  <c r="X66" i="3"/>
  <c r="I66" i="3"/>
  <c r="Y66" i="3"/>
  <c r="J66" i="3"/>
  <c r="Z66" i="3"/>
  <c r="K66" i="3"/>
  <c r="AA66" i="3"/>
  <c r="L66" i="3"/>
  <c r="AB66" i="3"/>
  <c r="M66" i="3"/>
  <c r="R66" i="2"/>
  <c r="C66" i="2"/>
  <c r="S2" i="2" s="1"/>
  <c r="S66" i="2"/>
  <c r="D66" i="2"/>
  <c r="T66" i="2"/>
  <c r="E66" i="2"/>
  <c r="U66" i="2"/>
  <c r="F66" i="2"/>
  <c r="V66" i="2"/>
  <c r="G66" i="2"/>
  <c r="W66" i="2"/>
  <c r="AA13" i="2"/>
  <c r="H66" i="2"/>
  <c r="X66" i="2"/>
  <c r="I66" i="2"/>
  <c r="Y66" i="2"/>
  <c r="J66" i="2"/>
  <c r="Z66" i="2"/>
  <c r="K66" i="2"/>
  <c r="AA66" i="2"/>
  <c r="L66" i="2"/>
  <c r="M66" i="2"/>
  <c r="AC66" i="2"/>
  <c r="N66" i="2"/>
  <c r="AD66" i="2"/>
  <c r="O66" i="2"/>
  <c r="AE66" i="2"/>
  <c r="P66" i="2"/>
  <c r="Q66" i="1"/>
  <c r="R66" i="1"/>
  <c r="C66" i="1"/>
  <c r="S2" i="1" s="1"/>
  <c r="S66" i="1"/>
  <c r="D66" i="1"/>
  <c r="T66" i="1"/>
  <c r="E66" i="1"/>
  <c r="U66" i="1"/>
  <c r="F66" i="1"/>
  <c r="V66" i="1"/>
  <c r="W66" i="1"/>
  <c r="G66" i="1"/>
  <c r="H66" i="1"/>
  <c r="X66" i="1"/>
  <c r="I66" i="1"/>
  <c r="Y66" i="1"/>
  <c r="J66" i="1"/>
  <c r="Z66" i="1"/>
  <c r="K66" i="1"/>
  <c r="AA66" i="1"/>
  <c r="L66" i="1"/>
  <c r="AB66" i="1"/>
  <c r="M66" i="1"/>
  <c r="AC66" i="1"/>
  <c r="N66" i="1"/>
  <c r="AD66" i="1"/>
  <c r="AE66" i="1"/>
  <c r="O66" i="1"/>
  <c r="F2" i="1"/>
  <c r="P66" i="1"/>
  <c r="Q35" i="3" l="1"/>
  <c r="S4" i="3" s="1"/>
  <c r="N9" i="3"/>
  <c r="K7" i="3" s="1"/>
  <c r="M9" i="3"/>
  <c r="K9" i="3"/>
  <c r="K6" i="3" s="1"/>
  <c r="AG39" i="3"/>
  <c r="C63" i="3"/>
  <c r="L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Darius Amin-Tehrani</author>
  </authors>
  <commentList>
    <comment ref="N6" authorId="0" shapeId="0" xr:uid="{FA0B7304-C868-418C-94F1-F6F5845AF434}">
      <text>
        <r>
          <rPr>
            <b/>
            <sz val="9"/>
            <color indexed="81"/>
            <rFont val="Tahoma"/>
            <family val="2"/>
          </rPr>
          <t>Darius Amin-Tehrani:</t>
        </r>
        <r>
          <rPr>
            <sz val="9"/>
            <color indexed="81"/>
            <rFont val="Tahoma"/>
            <family val="2"/>
          </rPr>
          <t xml:space="preserve">
Core model. Assigns each TA and the professor to 2 office-hour periods maximizing total TA preference. 
Rules: 1 person needs to teach two total periods, a period can only have one teacher, every student has access to at least one available block. Solver = Simplex LP.
Red is the scheduled shifts!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Darius Amin-Tehrani</author>
  </authors>
  <commentList>
    <comment ref="N6" authorId="0" shapeId="0" xr:uid="{38D0CB77-E00F-4B40-9CCF-91C155CC1C17}">
      <text>
        <r>
          <rPr>
            <b/>
            <sz val="9"/>
            <color indexed="81"/>
            <rFont val="Tahoma"/>
            <family val="2"/>
          </rPr>
          <t xml:space="preserve">Darius Amin-Tehrani:
</t>
        </r>
        <r>
          <rPr>
            <sz val="9"/>
            <color indexed="81"/>
            <rFont val="Tahoma"/>
            <family val="2"/>
          </rPr>
          <t xml:space="preserve">
Part 1 model plus two rules: 
(1) more Wed/Thu slots than Mon/Tue
(2) each TA's two slots must sum to ≤6 in preference rank (lower the number, the happier the TA, so to make things fair amongst TAs, everyone's total preference levels must sum to 6 and under)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Darius Amin-Tehrani</author>
  </authors>
  <commentList>
    <comment ref="N6" authorId="0" shapeId="0" xr:uid="{3D3AE08E-AC54-4B1C-A4F8-5306F379E7DE}">
      <text>
        <r>
          <rPr>
            <b/>
            <sz val="9"/>
            <color indexed="81"/>
            <rFont val="Tahoma"/>
            <family val="2"/>
          </rPr>
          <t xml:space="preserve">Darius Amin-Tehrani:
</t>
        </r>
        <r>
          <rPr>
            <sz val="9"/>
            <color indexed="81"/>
            <rFont val="Tahoma"/>
            <family val="2"/>
          </rPr>
          <t xml:space="preserve">
Combo box picks one of 3 classes; TA/professor/student data updates automatically so Solver can be re-run for any class.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<sst xmlns="http://schemas.openxmlformats.org/spreadsheetml/2006/main" count="400" uniqueCount="71">
  <si>
    <t>(1) Number of people staffing the Monday 8 a.m. time slot:</t>
  </si>
  <si>
    <t>(3) Number of time slots given to TA 1:</t>
  </si>
  <si>
    <t>(5) Number of time slots compatible with student 1's schedule:</t>
  </si>
  <si>
    <t>(2) Number of people staffing the Thursday 4:45 p.m. time slot:</t>
  </si>
  <si>
    <t>(4) Number of time slots given to the prof:</t>
  </si>
  <si>
    <t>(6) Number of time slots compatible with student 30's schedule:</t>
  </si>
  <si>
    <t>(7) Objective calculation:</t>
  </si>
  <si>
    <t>(8) Number of MT time slots staffed:</t>
  </si>
  <si>
    <t>(10) Total discontent, TA 1:</t>
  </si>
  <si>
    <t>(9) Number of WR time slots staffed:</t>
  </si>
  <si>
    <t>(11) Total discontent, TA 4:</t>
  </si>
  <si>
    <t>TA preferences</t>
  </si>
  <si>
    <t>Back-end stuff:</t>
  </si>
  <si>
    <t>TA 1</t>
  </si>
  <si>
    <t>TA 2</t>
  </si>
  <si>
    <t>TA 3</t>
  </si>
  <si>
    <t>TA 4</t>
  </si>
  <si>
    <t>Prof. availability</t>
  </si>
  <si>
    <t>Mondays</t>
  </si>
  <si>
    <t>Tuesdays</t>
  </si>
  <si>
    <t>Wednesdays</t>
  </si>
  <si>
    <t>Thursdays</t>
  </si>
  <si>
    <t>total:</t>
  </si>
  <si>
    <t>=</t>
  </si>
  <si>
    <t>Student availability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</si>
  <si>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</si>
  <si>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</si>
  <si>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</si>
  <si>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</si>
  <si>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</si>
  <si>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</si>
  <si>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</si>
  <si>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</si>
  <si>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</si>
  <si>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</si>
  <si>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</si>
  <si>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</si>
  <si>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</si>
  <si>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</si>
  <si>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</si>
  <si>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</si>
  <si>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</si>
  <si>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</si>
  <si>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</si>
  <si>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</si>
  <si>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</si>
  <si>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</si>
  <si>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</si>
  <si>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</si>
  <si>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</si>
  <si>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</si>
  <si>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</si>
  <si>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</si>
  <si>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</si>
  <si>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</si>
  <si>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TA Preference Levels:</t>
  </si>
  <si>
    <t>Mon+Tues</t>
  </si>
  <si>
    <t>Wed+Thu</t>
  </si>
  <si>
    <t>AdjuestedWTH</t>
  </si>
  <si>
    <r>
      <t xml:space="preserve">Classes input range </t>
    </r>
    <r>
      <rPr>
        <b/>
        <u/>
        <sz val="11"/>
        <color theme="1"/>
        <rFont val="Calibri"/>
        <family val="2"/>
      </rPr>
      <t>↓</t>
    </r>
  </si>
  <si>
    <r>
      <t xml:space="preserve">Cell link for class selection combo box </t>
    </r>
    <r>
      <rPr>
        <b/>
        <sz val="11"/>
        <color theme="1"/>
        <rFont val="Calibri"/>
        <family val="2"/>
      </rPr>
      <t>→</t>
    </r>
  </si>
  <si>
    <t>K304</t>
  </si>
  <si>
    <t>K304TA</t>
  </si>
  <si>
    <t>K304St</t>
  </si>
  <si>
    <t>K327</t>
  </si>
  <si>
    <t>K327TA</t>
  </si>
  <si>
    <t>K327St</t>
  </si>
  <si>
    <t>K353</t>
  </si>
  <si>
    <t>K353TA</t>
  </si>
  <si>
    <t>K353St</t>
  </si>
  <si>
    <t>Click Me!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</si>
</sst>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/>
      <name val="Calibri"/>
      <family val="2"/>
    </font>
    <font>
      <sz val="11"/>
      <color theme="1"/>
      <name val="Calibri"/>
      <family val="2"/>
    </font>
    <font>
      <b/>
      <sz val="11"/>
      <color indexed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ck">
        <color theme="9"/>
      </left>
      <right style="thick">
        <color theme="9"/>
      </right>
      <top style="thick">
        <color theme="9"/>
      </top>
      <bottom style="thick">
        <color theme="9"/>
      </bottom>
      <diagonal/>
    </border>
    <border>
      <left/>
      <right/>
      <top/>
      <bottom style="thick">
        <color theme="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2" fillId="0" borderId="0" xfId="0" applyFont="1"/>
    <xf numFmtId="0" fontId="3" fillId="0" borderId="0" xfId="0" applyFont="1"/>
    <xf numFmtId="0" fontId="0" fillId="0" borderId="2" xfId="0" applyBorder="1"/>
    <xf numFmtId="0" fontId="1" fillId="0" borderId="0" xfId="0" applyFont="1"/>
    <xf numFmtId="18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4" fillId="0" borderId="0" xfId="0" applyFont="1"/>
    <xf numFmtId="0" fontId="5" fillId="0" borderId="0" xfId="0" applyFont="1"/>
    <xf numFmtId="0" fontId="0" fillId="6" borderId="0" xfId="0" applyFill="1"/>
    <xf numFmtId="1" fontId="0" fillId="3" borderId="0" xfId="0" applyNumberFormat="1" applyFill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Drop" dropStyle="combo" dx="22" fmlaLink="'Class list and cell link'!$D$1" fmlaRange="'Class list and cell link'!$A$2:$A$4" noThreeD="1" sel="3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361950</xdr:colOff>
          <xdr:row>13</xdr:row>
          <xdr:rowOff>19050</xdr:rowOff>
        </xdr:from>
        <xdr:to>
          <xdr:col>18</xdr:col>
          <xdr:colOff>514350</xdr:colOff>
          <xdr:row>15</xdr:row>
          <xdr:rowOff>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3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4EE84-550B-49D4-96A7-DBDD60C6E103}">
  <dimension ref="A1:AG68"/>
  <sheetViews>
    <sheetView workbookViewId="0">
      <selection activeCell="K11" sqref="K11"/>
    </sheetView>
  </sheetViews>
  <sheetFormatPr defaultRowHeight="15" x14ac:dyDescent="0.25"/>
  <cols>
    <col min="1" max="1" width="18.28515625" customWidth="1"/>
    <col min="2" max="2" width="14.7109375" customWidth="1"/>
    <col min="3" max="6" width="9" bestFit="1" customWidth="1"/>
    <col min="7" max="7" width="15.42578125" customWidth="1"/>
    <col min="8" max="8" width="10.7109375" customWidth="1"/>
    <col min="9" max="9" width="11.28515625" customWidth="1"/>
    <col min="10" max="10" width="14.85546875" customWidth="1"/>
    <col min="11" max="11" width="9" bestFit="1" customWidth="1"/>
    <col min="12" max="12" width="15.5703125" customWidth="1"/>
    <col min="13" max="13" width="9" bestFit="1" customWidth="1"/>
    <col min="14" max="15" width="12" bestFit="1" customWidth="1"/>
    <col min="16" max="16" width="10.28515625" customWidth="1"/>
    <col min="17" max="17" width="9" bestFit="1" customWidth="1"/>
    <col min="18" max="18" width="12.140625" customWidth="1"/>
    <col min="19" max="19" width="11.7109375" bestFit="1" customWidth="1"/>
    <col min="20" max="20" width="14.140625" customWidth="1"/>
    <col min="21" max="22" width="9" bestFit="1" customWidth="1"/>
    <col min="23" max="23" width="10" customWidth="1"/>
    <col min="24" max="24" width="8.28515625" customWidth="1"/>
    <col min="25" max="25" width="9" bestFit="1" customWidth="1"/>
    <col min="26" max="26" width="13.7109375" customWidth="1"/>
    <col min="27" max="31" width="9" bestFit="1" customWidth="1"/>
    <col min="32" max="32" width="10.7109375" customWidth="1"/>
    <col min="33" max="33" width="9" bestFit="1" customWidth="1"/>
    <col min="35" max="35" width="13.28515625" customWidth="1"/>
  </cols>
  <sheetData>
    <row r="1" spans="1:26" ht="15.75" thickBot="1" x14ac:dyDescent="0.3"/>
    <row r="2" spans="1:26" ht="16.5" thickTop="1" thickBot="1" x14ac:dyDescent="0.3">
      <c r="E2" s="1" t="s">
        <v>0</v>
      </c>
      <c r="F2" s="2">
        <f>P11</f>
        <v>1</v>
      </c>
      <c r="G2" s="3"/>
      <c r="J2" s="1" t="s">
        <v>1</v>
      </c>
      <c r="K2" s="2">
        <f>K35</f>
        <v>2</v>
      </c>
      <c r="L2" s="3"/>
      <c r="R2" s="1" t="s">
        <v>2</v>
      </c>
      <c r="S2" s="2">
        <f>C66</f>
        <v>2</v>
      </c>
      <c r="T2" s="3"/>
    </row>
    <row r="3" spans="1:26" ht="16.5" thickTop="1" thickBot="1" x14ac:dyDescent="0.3">
      <c r="E3" s="1" t="s">
        <v>3</v>
      </c>
      <c r="F3" s="2">
        <f>P34</f>
        <v>0</v>
      </c>
      <c r="G3" s="3"/>
      <c r="J3" s="1" t="s">
        <v>4</v>
      </c>
      <c r="K3" s="2">
        <f>O35</f>
        <v>2</v>
      </c>
      <c r="L3" s="3"/>
      <c r="R3" s="1" t="s">
        <v>5</v>
      </c>
      <c r="S3" s="2">
        <f>AF66</f>
        <v>2</v>
      </c>
      <c r="T3" s="3"/>
    </row>
    <row r="4" spans="1:26" ht="16.5" thickTop="1" thickBot="1" x14ac:dyDescent="0.3">
      <c r="G4" s="4"/>
      <c r="L4" s="4"/>
      <c r="R4" s="1" t="s">
        <v>6</v>
      </c>
      <c r="S4" s="2">
        <f>Q35</f>
        <v>15</v>
      </c>
      <c r="T4" s="3"/>
    </row>
    <row r="5" spans="1:26" ht="16.5" thickTop="1" thickBot="1" x14ac:dyDescent="0.3">
      <c r="G5" s="4"/>
      <c r="L5" s="4"/>
    </row>
    <row r="6" spans="1:26" ht="16.5" thickTop="1" thickBot="1" x14ac:dyDescent="0.3">
      <c r="E6" s="1" t="s">
        <v>7</v>
      </c>
      <c r="F6" s="2">
        <f>SUM(P11:P22)</f>
        <v>6</v>
      </c>
      <c r="G6" s="3"/>
      <c r="J6" s="1" t="s">
        <v>8</v>
      </c>
      <c r="K6" s="2">
        <f>SUMPRODUCT(K11:K34,T11:T34)</f>
        <v>3</v>
      </c>
      <c r="L6" s="3"/>
      <c r="N6" s="14" t="s">
        <v>70</v>
      </c>
    </row>
    <row r="7" spans="1:26" ht="16.5" thickTop="1" thickBot="1" x14ac:dyDescent="0.3">
      <c r="E7" s="1" t="s">
        <v>9</v>
      </c>
      <c r="F7" s="2">
        <f>SUM(P23:P34)</f>
        <v>4</v>
      </c>
      <c r="G7" s="3"/>
      <c r="J7" s="1" t="s">
        <v>10</v>
      </c>
      <c r="K7" s="16">
        <f>SUMPRODUCT(N11:N34,W11:W34)</f>
        <v>4</v>
      </c>
      <c r="L7" s="3"/>
    </row>
    <row r="8" spans="1:26" s="5" customFormat="1" ht="16.5" thickTop="1" thickBot="1" x14ac:dyDescent="0.3"/>
    <row r="9" spans="1:26" ht="15.75" thickTop="1" x14ac:dyDescent="0.25">
      <c r="C9" s="6" t="s">
        <v>11</v>
      </c>
      <c r="R9" t="s">
        <v>12</v>
      </c>
    </row>
    <row r="10" spans="1:26" x14ac:dyDescent="0.25">
      <c r="C10" t="s">
        <v>13</v>
      </c>
      <c r="D10" t="s">
        <v>14</v>
      </c>
      <c r="E10" t="s">
        <v>15</v>
      </c>
      <c r="F10" t="s">
        <v>16</v>
      </c>
      <c r="G10" s="6" t="s">
        <v>17</v>
      </c>
      <c r="K10" t="s">
        <v>13</v>
      </c>
      <c r="L10" t="s">
        <v>14</v>
      </c>
      <c r="M10" t="s">
        <v>15</v>
      </c>
      <c r="N10" t="s">
        <v>16</v>
      </c>
      <c r="O10" s="6" t="s">
        <v>17</v>
      </c>
      <c r="T10" t="s">
        <v>13</v>
      </c>
      <c r="U10" t="s">
        <v>14</v>
      </c>
      <c r="V10" t="s">
        <v>15</v>
      </c>
      <c r="W10" t="s">
        <v>16</v>
      </c>
      <c r="X10" s="6" t="s">
        <v>17</v>
      </c>
    </row>
    <row r="11" spans="1:26" x14ac:dyDescent="0.25">
      <c r="A11" t="s">
        <v>18</v>
      </c>
      <c r="B11" s="7">
        <v>0.33333333333333331</v>
      </c>
      <c r="C11" s="8">
        <v>2</v>
      </c>
      <c r="D11" s="8">
        <v>0</v>
      </c>
      <c r="E11" s="8">
        <v>8</v>
      </c>
      <c r="F11" s="8">
        <v>0</v>
      </c>
      <c r="G11" s="8">
        <v>0</v>
      </c>
      <c r="I11" t="s">
        <v>18</v>
      </c>
      <c r="J11" s="7">
        <v>0.33333333333333331</v>
      </c>
      <c r="K11" s="15">
        <v>1</v>
      </c>
      <c r="L11" s="15">
        <v>0</v>
      </c>
      <c r="M11" s="15">
        <v>0</v>
      </c>
      <c r="N11" s="15">
        <v>0</v>
      </c>
      <c r="O11" s="15">
        <v>0</v>
      </c>
      <c r="P11">
        <f>SUM(K11:O11)</f>
        <v>1</v>
      </c>
      <c r="Q11" s="9">
        <v>1</v>
      </c>
      <c r="R11" t="s">
        <v>18</v>
      </c>
      <c r="S11" s="7">
        <v>0.33333333333333331</v>
      </c>
      <c r="T11" s="10">
        <f>IF(C11=0,$Z$11,C11)</f>
        <v>2</v>
      </c>
      <c r="U11" s="10">
        <f t="shared" ref="U11:X26" si="0">IF(D11=0,$Z$11,D11)</f>
        <v>99</v>
      </c>
      <c r="V11" s="10">
        <f t="shared" si="0"/>
        <v>8</v>
      </c>
      <c r="W11" s="10">
        <f t="shared" si="0"/>
        <v>99</v>
      </c>
      <c r="X11" s="10">
        <f t="shared" si="0"/>
        <v>99</v>
      </c>
      <c r="Z11">
        <v>99</v>
      </c>
    </row>
    <row r="12" spans="1:26" x14ac:dyDescent="0.25">
      <c r="B12" s="7">
        <v>0.40625</v>
      </c>
      <c r="C12" s="8">
        <v>7</v>
      </c>
      <c r="D12" s="8">
        <v>0</v>
      </c>
      <c r="E12" s="8">
        <v>0</v>
      </c>
      <c r="F12" s="8">
        <v>0</v>
      </c>
      <c r="G12" s="8">
        <v>0</v>
      </c>
      <c r="J12" s="7">
        <v>0.40625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>
        <f t="shared" ref="P12:P34" si="1">SUM(K12:O12)</f>
        <v>0</v>
      </c>
      <c r="Q12" s="9">
        <v>1</v>
      </c>
      <c r="S12" s="7">
        <v>0.40625</v>
      </c>
      <c r="T12" s="10">
        <f t="shared" ref="T12:X34" si="2">IF(C12=0,$Z$11,C12)</f>
        <v>7</v>
      </c>
      <c r="U12" s="10">
        <f t="shared" si="0"/>
        <v>99</v>
      </c>
      <c r="V12" s="10">
        <f t="shared" si="0"/>
        <v>99</v>
      </c>
      <c r="W12" s="10">
        <f t="shared" si="0"/>
        <v>99</v>
      </c>
      <c r="X12" s="10">
        <f t="shared" si="0"/>
        <v>99</v>
      </c>
    </row>
    <row r="13" spans="1:26" x14ac:dyDescent="0.25">
      <c r="B13" s="7">
        <v>0.47916666666666669</v>
      </c>
      <c r="C13" s="8">
        <v>9</v>
      </c>
      <c r="D13" s="8">
        <v>1</v>
      </c>
      <c r="E13" s="8">
        <v>0</v>
      </c>
      <c r="F13" s="8">
        <v>1</v>
      </c>
      <c r="G13" s="8">
        <v>1</v>
      </c>
      <c r="J13" s="7">
        <v>0.47916666666666669</v>
      </c>
      <c r="K13" s="15">
        <v>0</v>
      </c>
      <c r="L13" s="15">
        <v>0</v>
      </c>
      <c r="M13" s="15">
        <v>0</v>
      </c>
      <c r="N13" s="15">
        <v>1</v>
      </c>
      <c r="O13" s="15">
        <v>0</v>
      </c>
      <c r="P13">
        <f t="shared" si="1"/>
        <v>1</v>
      </c>
      <c r="Q13" s="9">
        <v>1</v>
      </c>
      <c r="S13" s="7">
        <v>0.47916666666666669</v>
      </c>
      <c r="T13" s="10">
        <f t="shared" si="2"/>
        <v>9</v>
      </c>
      <c r="U13" s="10">
        <f t="shared" si="0"/>
        <v>1</v>
      </c>
      <c r="V13" s="10">
        <f t="shared" si="0"/>
        <v>99</v>
      </c>
      <c r="W13" s="10">
        <f t="shared" si="0"/>
        <v>1</v>
      </c>
      <c r="X13" s="10">
        <f t="shared" si="0"/>
        <v>1</v>
      </c>
    </row>
    <row r="14" spans="1:26" x14ac:dyDescent="0.25">
      <c r="B14" s="7">
        <v>0.55208333333333304</v>
      </c>
      <c r="C14" s="8">
        <v>0</v>
      </c>
      <c r="D14" s="8">
        <v>0</v>
      </c>
      <c r="E14" s="8">
        <v>2</v>
      </c>
      <c r="F14" s="8">
        <v>4</v>
      </c>
      <c r="G14" s="8">
        <v>1</v>
      </c>
      <c r="J14" s="7">
        <v>0.55208333333333304</v>
      </c>
      <c r="K14" s="15">
        <v>0</v>
      </c>
      <c r="L14" s="15">
        <v>0</v>
      </c>
      <c r="M14" s="15">
        <v>1</v>
      </c>
      <c r="N14" s="15">
        <v>0</v>
      </c>
      <c r="O14" s="15">
        <v>0</v>
      </c>
      <c r="P14">
        <f t="shared" si="1"/>
        <v>1</v>
      </c>
      <c r="Q14" s="9">
        <v>1</v>
      </c>
      <c r="S14" s="7">
        <v>0.55208333333333304</v>
      </c>
      <c r="T14" s="10">
        <f t="shared" si="2"/>
        <v>99</v>
      </c>
      <c r="U14" s="10">
        <f t="shared" si="0"/>
        <v>99</v>
      </c>
      <c r="V14" s="10">
        <f t="shared" si="0"/>
        <v>2</v>
      </c>
      <c r="W14" s="10">
        <f t="shared" si="0"/>
        <v>4</v>
      </c>
      <c r="X14" s="10">
        <f t="shared" si="0"/>
        <v>1</v>
      </c>
    </row>
    <row r="15" spans="1:26" x14ac:dyDescent="0.25">
      <c r="B15" s="7">
        <v>0.625</v>
      </c>
      <c r="C15" s="8">
        <v>1</v>
      </c>
      <c r="D15" s="8">
        <v>8</v>
      </c>
      <c r="E15" s="8">
        <v>0</v>
      </c>
      <c r="F15" s="8">
        <v>2</v>
      </c>
      <c r="G15" s="8">
        <v>1</v>
      </c>
      <c r="J15" s="7">
        <v>0.625</v>
      </c>
      <c r="K15" s="15">
        <v>1</v>
      </c>
      <c r="L15" s="15">
        <v>0</v>
      </c>
      <c r="M15" s="15">
        <v>0</v>
      </c>
      <c r="N15" s="15">
        <v>0</v>
      </c>
      <c r="O15" s="15">
        <v>0</v>
      </c>
      <c r="P15">
        <f t="shared" si="1"/>
        <v>1</v>
      </c>
      <c r="Q15" s="9">
        <v>1</v>
      </c>
      <c r="S15" s="7">
        <v>0.625</v>
      </c>
      <c r="T15" s="10">
        <f t="shared" si="2"/>
        <v>1</v>
      </c>
      <c r="U15" s="10">
        <f t="shared" si="0"/>
        <v>8</v>
      </c>
      <c r="V15" s="10">
        <f t="shared" si="0"/>
        <v>99</v>
      </c>
      <c r="W15" s="10">
        <f t="shared" si="0"/>
        <v>2</v>
      </c>
      <c r="X15" s="10">
        <f t="shared" si="0"/>
        <v>1</v>
      </c>
    </row>
    <row r="16" spans="1:26" x14ac:dyDescent="0.25">
      <c r="B16" s="7">
        <v>0.69791666666666696</v>
      </c>
      <c r="C16" s="8">
        <v>8</v>
      </c>
      <c r="D16" s="8">
        <v>4</v>
      </c>
      <c r="E16" s="8">
        <v>1</v>
      </c>
      <c r="F16" s="8">
        <v>0</v>
      </c>
      <c r="G16" s="8">
        <v>0</v>
      </c>
      <c r="J16" s="7">
        <v>0.69791666666666696</v>
      </c>
      <c r="K16" s="15">
        <v>0</v>
      </c>
      <c r="L16" s="15">
        <v>0</v>
      </c>
      <c r="M16" s="15">
        <v>1</v>
      </c>
      <c r="N16" s="15">
        <v>0</v>
      </c>
      <c r="O16" s="15">
        <v>0</v>
      </c>
      <c r="P16">
        <f t="shared" si="1"/>
        <v>1</v>
      </c>
      <c r="Q16" s="9">
        <v>1</v>
      </c>
      <c r="S16" s="7">
        <v>0.69791666666666696</v>
      </c>
      <c r="T16" s="10">
        <f t="shared" si="2"/>
        <v>8</v>
      </c>
      <c r="U16" s="10">
        <f t="shared" si="0"/>
        <v>4</v>
      </c>
      <c r="V16" s="10">
        <f t="shared" si="0"/>
        <v>1</v>
      </c>
      <c r="W16" s="10">
        <f t="shared" si="0"/>
        <v>99</v>
      </c>
      <c r="X16" s="10">
        <f t="shared" si="0"/>
        <v>99</v>
      </c>
    </row>
    <row r="17" spans="1:24" x14ac:dyDescent="0.25">
      <c r="A17" t="s">
        <v>19</v>
      </c>
      <c r="B17" s="7">
        <v>0.33333333333333331</v>
      </c>
      <c r="C17" s="8">
        <v>0</v>
      </c>
      <c r="D17" s="8">
        <v>0</v>
      </c>
      <c r="E17" s="8">
        <v>0</v>
      </c>
      <c r="F17" s="8">
        <v>8</v>
      </c>
      <c r="G17" s="8">
        <v>0</v>
      </c>
      <c r="I17" t="s">
        <v>19</v>
      </c>
      <c r="J17" s="7">
        <v>0.33333333333333331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>
        <f t="shared" si="1"/>
        <v>0</v>
      </c>
      <c r="Q17" s="9">
        <v>1</v>
      </c>
      <c r="R17" t="s">
        <v>19</v>
      </c>
      <c r="S17" s="7">
        <v>0.33333333333333331</v>
      </c>
      <c r="T17" s="10">
        <f t="shared" si="2"/>
        <v>99</v>
      </c>
      <c r="U17" s="10">
        <f t="shared" si="0"/>
        <v>99</v>
      </c>
      <c r="V17" s="10">
        <f t="shared" si="0"/>
        <v>99</v>
      </c>
      <c r="W17" s="10">
        <f t="shared" si="0"/>
        <v>8</v>
      </c>
      <c r="X17" s="10">
        <f t="shared" si="0"/>
        <v>99</v>
      </c>
    </row>
    <row r="18" spans="1:24" x14ac:dyDescent="0.25">
      <c r="B18" s="7">
        <v>0.40625</v>
      </c>
      <c r="C18" s="8">
        <v>0</v>
      </c>
      <c r="D18" s="8">
        <v>5</v>
      </c>
      <c r="E18" s="8">
        <v>0</v>
      </c>
      <c r="F18" s="8">
        <v>9</v>
      </c>
      <c r="G18" s="8">
        <v>0</v>
      </c>
      <c r="J18" s="7">
        <v>0.40625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>
        <f t="shared" si="1"/>
        <v>0</v>
      </c>
      <c r="Q18" s="9">
        <v>1</v>
      </c>
      <c r="S18" s="7">
        <v>0.40625</v>
      </c>
      <c r="T18" s="10">
        <f t="shared" si="2"/>
        <v>99</v>
      </c>
      <c r="U18" s="10">
        <f t="shared" si="0"/>
        <v>5</v>
      </c>
      <c r="V18" s="10">
        <f t="shared" si="0"/>
        <v>99</v>
      </c>
      <c r="W18" s="10">
        <f t="shared" si="0"/>
        <v>9</v>
      </c>
      <c r="X18" s="10">
        <f t="shared" si="0"/>
        <v>99</v>
      </c>
    </row>
    <row r="19" spans="1:24" x14ac:dyDescent="0.25">
      <c r="B19" s="7">
        <v>0.47916666666666669</v>
      </c>
      <c r="C19" s="8">
        <v>6</v>
      </c>
      <c r="D19" s="8">
        <v>0</v>
      </c>
      <c r="E19" s="8">
        <v>3</v>
      </c>
      <c r="F19" s="8">
        <v>0</v>
      </c>
      <c r="G19" s="8">
        <v>1</v>
      </c>
      <c r="J19" s="7">
        <v>0.47916666666666669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>
        <f t="shared" si="1"/>
        <v>0</v>
      </c>
      <c r="Q19" s="9">
        <v>1</v>
      </c>
      <c r="S19" s="7">
        <v>0.47916666666666669</v>
      </c>
      <c r="T19" s="10">
        <f t="shared" si="2"/>
        <v>6</v>
      </c>
      <c r="U19" s="10">
        <f t="shared" si="0"/>
        <v>99</v>
      </c>
      <c r="V19" s="10">
        <f t="shared" si="0"/>
        <v>3</v>
      </c>
      <c r="W19" s="10">
        <f t="shared" si="0"/>
        <v>99</v>
      </c>
      <c r="X19" s="10">
        <f t="shared" si="0"/>
        <v>1</v>
      </c>
    </row>
    <row r="20" spans="1:24" x14ac:dyDescent="0.25">
      <c r="B20" s="7">
        <v>0.55208333333333304</v>
      </c>
      <c r="C20" s="8">
        <v>0</v>
      </c>
      <c r="D20" s="8">
        <v>0</v>
      </c>
      <c r="E20" s="8">
        <v>0</v>
      </c>
      <c r="F20" s="8">
        <v>0</v>
      </c>
      <c r="G20" s="8">
        <v>1</v>
      </c>
      <c r="J20" s="7">
        <v>0.55208333333333304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>
        <f t="shared" si="1"/>
        <v>0</v>
      </c>
      <c r="Q20" s="9">
        <v>1</v>
      </c>
      <c r="S20" s="7">
        <v>0.55208333333333304</v>
      </c>
      <c r="T20" s="10">
        <f t="shared" si="2"/>
        <v>99</v>
      </c>
      <c r="U20" s="10">
        <f t="shared" si="0"/>
        <v>99</v>
      </c>
      <c r="V20" s="10">
        <f t="shared" si="0"/>
        <v>99</v>
      </c>
      <c r="W20" s="10">
        <f t="shared" si="0"/>
        <v>99</v>
      </c>
      <c r="X20" s="10">
        <f t="shared" si="0"/>
        <v>1</v>
      </c>
    </row>
    <row r="21" spans="1:24" x14ac:dyDescent="0.25">
      <c r="B21" s="7">
        <v>0.625</v>
      </c>
      <c r="C21" s="8">
        <v>3</v>
      </c>
      <c r="D21" s="8">
        <v>3</v>
      </c>
      <c r="E21" s="8">
        <v>0</v>
      </c>
      <c r="F21" s="8">
        <v>6</v>
      </c>
      <c r="G21" s="8">
        <v>1</v>
      </c>
      <c r="J21" s="7">
        <v>0.625</v>
      </c>
      <c r="K21" s="15">
        <v>0</v>
      </c>
      <c r="L21" s="15">
        <v>1</v>
      </c>
      <c r="M21" s="15">
        <v>0</v>
      </c>
      <c r="N21" s="15">
        <v>0</v>
      </c>
      <c r="O21" s="15">
        <v>0</v>
      </c>
      <c r="P21">
        <f t="shared" si="1"/>
        <v>1</v>
      </c>
      <c r="Q21" s="9">
        <v>1</v>
      </c>
      <c r="S21" s="7">
        <v>0.625</v>
      </c>
      <c r="T21" s="10">
        <f t="shared" si="2"/>
        <v>3</v>
      </c>
      <c r="U21" s="10">
        <f t="shared" si="0"/>
        <v>3</v>
      </c>
      <c r="V21" s="10">
        <f t="shared" si="0"/>
        <v>99</v>
      </c>
      <c r="W21" s="10">
        <f t="shared" si="0"/>
        <v>6</v>
      </c>
      <c r="X21" s="10">
        <f t="shared" si="0"/>
        <v>1</v>
      </c>
    </row>
    <row r="22" spans="1:24" x14ac:dyDescent="0.25">
      <c r="B22" s="7">
        <v>0.69791666666666696</v>
      </c>
      <c r="C22" s="8">
        <v>0</v>
      </c>
      <c r="D22" s="8">
        <v>0</v>
      </c>
      <c r="E22" s="8">
        <v>4</v>
      </c>
      <c r="F22" s="8">
        <v>0</v>
      </c>
      <c r="G22" s="8">
        <v>0</v>
      </c>
      <c r="J22" s="7">
        <v>0.69791666666666696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>
        <f t="shared" si="1"/>
        <v>0</v>
      </c>
      <c r="Q22" s="9">
        <v>1</v>
      </c>
      <c r="S22" s="7">
        <v>0.69791666666666696</v>
      </c>
      <c r="T22" s="10">
        <f t="shared" si="2"/>
        <v>99</v>
      </c>
      <c r="U22" s="10">
        <f t="shared" si="0"/>
        <v>99</v>
      </c>
      <c r="V22" s="10">
        <f t="shared" si="0"/>
        <v>4</v>
      </c>
      <c r="W22" s="10">
        <f t="shared" si="0"/>
        <v>99</v>
      </c>
      <c r="X22" s="10">
        <f t="shared" si="0"/>
        <v>99</v>
      </c>
    </row>
    <row r="23" spans="1:24" x14ac:dyDescent="0.25">
      <c r="A23" t="s">
        <v>20</v>
      </c>
      <c r="B23" s="7">
        <v>0.33333333333333331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I23" t="s">
        <v>20</v>
      </c>
      <c r="J23" s="7">
        <v>0.33333333333333331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>
        <f t="shared" si="1"/>
        <v>0</v>
      </c>
      <c r="Q23" s="9">
        <v>1</v>
      </c>
      <c r="R23" t="s">
        <v>20</v>
      </c>
      <c r="S23" s="7">
        <v>0.33333333333333331</v>
      </c>
      <c r="T23" s="10">
        <f t="shared" si="2"/>
        <v>99</v>
      </c>
      <c r="U23" s="10">
        <f t="shared" si="0"/>
        <v>99</v>
      </c>
      <c r="V23" s="10">
        <f t="shared" si="0"/>
        <v>99</v>
      </c>
      <c r="W23" s="10">
        <f t="shared" si="0"/>
        <v>99</v>
      </c>
      <c r="X23" s="10">
        <f t="shared" si="0"/>
        <v>99</v>
      </c>
    </row>
    <row r="24" spans="1:24" x14ac:dyDescent="0.25">
      <c r="B24" s="7">
        <v>0.40625</v>
      </c>
      <c r="C24" s="8">
        <v>0</v>
      </c>
      <c r="D24" s="8">
        <v>0</v>
      </c>
      <c r="E24" s="8">
        <v>5</v>
      </c>
      <c r="F24" s="8">
        <v>0</v>
      </c>
      <c r="G24" s="8">
        <v>0</v>
      </c>
      <c r="J24" s="7">
        <v>0.40625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>
        <f t="shared" si="1"/>
        <v>0</v>
      </c>
      <c r="Q24" s="9">
        <v>1</v>
      </c>
      <c r="S24" s="7">
        <v>0.40625</v>
      </c>
      <c r="T24" s="10">
        <f t="shared" si="2"/>
        <v>99</v>
      </c>
      <c r="U24" s="10">
        <f t="shared" si="0"/>
        <v>99</v>
      </c>
      <c r="V24" s="10">
        <f t="shared" si="0"/>
        <v>5</v>
      </c>
      <c r="W24" s="10">
        <f t="shared" si="0"/>
        <v>99</v>
      </c>
      <c r="X24" s="10">
        <f t="shared" si="0"/>
        <v>99</v>
      </c>
    </row>
    <row r="25" spans="1:24" x14ac:dyDescent="0.25">
      <c r="B25" s="7">
        <v>0.47916666666666669</v>
      </c>
      <c r="C25" s="8">
        <v>0</v>
      </c>
      <c r="D25" s="8">
        <v>0</v>
      </c>
      <c r="E25" s="8">
        <v>0</v>
      </c>
      <c r="F25" s="8">
        <v>0</v>
      </c>
      <c r="G25" s="8">
        <v>1</v>
      </c>
      <c r="J25" s="7">
        <v>0.47916666666666669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>
        <f t="shared" si="1"/>
        <v>0</v>
      </c>
      <c r="Q25" s="9">
        <v>1</v>
      </c>
      <c r="S25" s="7">
        <v>0.47916666666666669</v>
      </c>
      <c r="T25" s="10">
        <f t="shared" si="2"/>
        <v>99</v>
      </c>
      <c r="U25" s="10">
        <f t="shared" si="0"/>
        <v>99</v>
      </c>
      <c r="V25" s="10">
        <f t="shared" si="0"/>
        <v>99</v>
      </c>
      <c r="W25" s="10">
        <f t="shared" si="0"/>
        <v>99</v>
      </c>
      <c r="X25" s="10">
        <f t="shared" si="0"/>
        <v>1</v>
      </c>
    </row>
    <row r="26" spans="1:24" x14ac:dyDescent="0.25">
      <c r="B26" s="7">
        <v>0.55208333333333304</v>
      </c>
      <c r="C26" s="8">
        <v>0</v>
      </c>
      <c r="D26" s="8">
        <v>6</v>
      </c>
      <c r="E26" s="8">
        <v>9</v>
      </c>
      <c r="F26" s="8">
        <v>0</v>
      </c>
      <c r="G26" s="8">
        <v>1</v>
      </c>
      <c r="J26" s="7">
        <v>0.55208333333333304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>
        <f t="shared" si="1"/>
        <v>0</v>
      </c>
      <c r="Q26" s="9">
        <v>1</v>
      </c>
      <c r="S26" s="7">
        <v>0.55208333333333304</v>
      </c>
      <c r="T26" s="10">
        <f t="shared" si="2"/>
        <v>99</v>
      </c>
      <c r="U26" s="10">
        <f t="shared" si="0"/>
        <v>6</v>
      </c>
      <c r="V26" s="10">
        <f t="shared" si="0"/>
        <v>9</v>
      </c>
      <c r="W26" s="10">
        <f t="shared" si="0"/>
        <v>99</v>
      </c>
      <c r="X26" s="10">
        <f t="shared" si="0"/>
        <v>1</v>
      </c>
    </row>
    <row r="27" spans="1:24" x14ac:dyDescent="0.25">
      <c r="B27" s="7">
        <v>0.625</v>
      </c>
      <c r="C27" s="8">
        <v>0</v>
      </c>
      <c r="D27" s="8">
        <v>0</v>
      </c>
      <c r="E27" s="8">
        <v>0</v>
      </c>
      <c r="F27" s="8">
        <v>7</v>
      </c>
      <c r="G27" s="8">
        <v>1</v>
      </c>
      <c r="J27" s="7">
        <v>0.625</v>
      </c>
      <c r="K27" s="15">
        <v>0</v>
      </c>
      <c r="L27" s="15">
        <v>0</v>
      </c>
      <c r="M27" s="15">
        <v>0</v>
      </c>
      <c r="N27" s="15">
        <v>0</v>
      </c>
      <c r="O27" s="15">
        <v>1</v>
      </c>
      <c r="P27">
        <f t="shared" si="1"/>
        <v>1</v>
      </c>
      <c r="Q27" s="9">
        <v>1</v>
      </c>
      <c r="S27" s="7">
        <v>0.625</v>
      </c>
      <c r="T27" s="10">
        <f t="shared" si="2"/>
        <v>99</v>
      </c>
      <c r="U27" s="10">
        <f t="shared" si="2"/>
        <v>99</v>
      </c>
      <c r="V27" s="10">
        <f t="shared" si="2"/>
        <v>99</v>
      </c>
      <c r="W27" s="10">
        <f t="shared" si="2"/>
        <v>7</v>
      </c>
      <c r="X27" s="10">
        <f t="shared" si="2"/>
        <v>1</v>
      </c>
    </row>
    <row r="28" spans="1:24" x14ac:dyDescent="0.25">
      <c r="B28" s="7">
        <v>0.69791666666666696</v>
      </c>
      <c r="C28" s="8">
        <v>10</v>
      </c>
      <c r="D28" s="8">
        <v>2</v>
      </c>
      <c r="E28" s="8">
        <v>6</v>
      </c>
      <c r="F28" s="8">
        <v>10</v>
      </c>
      <c r="G28" s="8">
        <v>0</v>
      </c>
      <c r="J28" s="7">
        <v>0.69791666666666696</v>
      </c>
      <c r="K28" s="15">
        <v>0</v>
      </c>
      <c r="L28" s="15">
        <v>1</v>
      </c>
      <c r="M28" s="15">
        <v>0</v>
      </c>
      <c r="N28" s="15">
        <v>0</v>
      </c>
      <c r="O28" s="15">
        <v>0</v>
      </c>
      <c r="P28">
        <f t="shared" si="1"/>
        <v>1</v>
      </c>
      <c r="Q28" s="9">
        <v>1</v>
      </c>
      <c r="S28" s="7">
        <v>0.69791666666666696</v>
      </c>
      <c r="T28" s="10">
        <f t="shared" si="2"/>
        <v>10</v>
      </c>
      <c r="U28" s="10">
        <f t="shared" si="2"/>
        <v>2</v>
      </c>
      <c r="V28" s="10">
        <f t="shared" si="2"/>
        <v>6</v>
      </c>
      <c r="W28" s="10">
        <f t="shared" si="2"/>
        <v>10</v>
      </c>
      <c r="X28" s="10">
        <f t="shared" si="2"/>
        <v>99</v>
      </c>
    </row>
    <row r="29" spans="1:24" x14ac:dyDescent="0.25">
      <c r="A29" t="s">
        <v>21</v>
      </c>
      <c r="B29" s="7">
        <v>0.33333333333333331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I29" t="s">
        <v>21</v>
      </c>
      <c r="J29" s="7">
        <v>0.33333333333333331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>
        <f t="shared" si="1"/>
        <v>0</v>
      </c>
      <c r="Q29" s="9">
        <v>1</v>
      </c>
      <c r="R29" t="s">
        <v>21</v>
      </c>
      <c r="S29" s="7">
        <v>0.33333333333333331</v>
      </c>
      <c r="T29" s="10">
        <f t="shared" si="2"/>
        <v>99</v>
      </c>
      <c r="U29" s="10">
        <f t="shared" si="2"/>
        <v>99</v>
      </c>
      <c r="V29" s="10">
        <f t="shared" si="2"/>
        <v>99</v>
      </c>
      <c r="W29" s="10">
        <f t="shared" si="2"/>
        <v>99</v>
      </c>
      <c r="X29" s="10">
        <f t="shared" si="2"/>
        <v>99</v>
      </c>
    </row>
    <row r="30" spans="1:24" x14ac:dyDescent="0.25">
      <c r="B30" s="7">
        <v>0.40625</v>
      </c>
      <c r="C30" s="8">
        <v>0</v>
      </c>
      <c r="D30" s="8">
        <v>7</v>
      </c>
      <c r="E30" s="8">
        <v>0</v>
      </c>
      <c r="F30" s="8">
        <v>5</v>
      </c>
      <c r="G30" s="8">
        <v>0</v>
      </c>
      <c r="J30" s="7">
        <v>0.40625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>
        <f t="shared" si="1"/>
        <v>0</v>
      </c>
      <c r="Q30" s="9">
        <v>1</v>
      </c>
      <c r="S30" s="7">
        <v>0.40625</v>
      </c>
      <c r="T30" s="10">
        <f t="shared" si="2"/>
        <v>99</v>
      </c>
      <c r="U30" s="10">
        <f t="shared" si="2"/>
        <v>7</v>
      </c>
      <c r="V30" s="10">
        <f t="shared" si="2"/>
        <v>99</v>
      </c>
      <c r="W30" s="10">
        <f t="shared" si="2"/>
        <v>5</v>
      </c>
      <c r="X30" s="10">
        <f t="shared" si="2"/>
        <v>99</v>
      </c>
    </row>
    <row r="31" spans="1:24" x14ac:dyDescent="0.25">
      <c r="B31" s="7">
        <v>0.47916666666666669</v>
      </c>
      <c r="C31" s="8">
        <v>4</v>
      </c>
      <c r="D31" s="8">
        <v>0</v>
      </c>
      <c r="E31" s="8">
        <v>10</v>
      </c>
      <c r="F31" s="8">
        <v>0</v>
      </c>
      <c r="G31" s="8">
        <v>1</v>
      </c>
      <c r="J31" s="7">
        <v>0.47916666666666669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>
        <f t="shared" si="1"/>
        <v>0</v>
      </c>
      <c r="Q31" s="9">
        <v>1</v>
      </c>
      <c r="S31" s="7">
        <v>0.47916666666666669</v>
      </c>
      <c r="T31" s="10">
        <f t="shared" si="2"/>
        <v>4</v>
      </c>
      <c r="U31" s="10">
        <f t="shared" si="2"/>
        <v>99</v>
      </c>
      <c r="V31" s="10">
        <f t="shared" si="2"/>
        <v>10</v>
      </c>
      <c r="W31" s="10">
        <f t="shared" si="2"/>
        <v>99</v>
      </c>
      <c r="X31" s="10">
        <f t="shared" si="2"/>
        <v>1</v>
      </c>
    </row>
    <row r="32" spans="1:24" x14ac:dyDescent="0.25">
      <c r="B32" s="7">
        <v>0.55208333333333304</v>
      </c>
      <c r="C32" s="8">
        <v>0</v>
      </c>
      <c r="D32" s="8">
        <v>0</v>
      </c>
      <c r="E32" s="8">
        <v>0</v>
      </c>
      <c r="F32" s="8">
        <v>0</v>
      </c>
      <c r="G32" s="8">
        <v>1</v>
      </c>
      <c r="J32" s="7">
        <v>0.55208333333333304</v>
      </c>
      <c r="K32" s="15">
        <v>0</v>
      </c>
      <c r="L32" s="15">
        <v>0</v>
      </c>
      <c r="M32" s="15">
        <v>0</v>
      </c>
      <c r="N32" s="15">
        <v>0</v>
      </c>
      <c r="O32" s="15">
        <v>1</v>
      </c>
      <c r="P32">
        <f t="shared" si="1"/>
        <v>1</v>
      </c>
      <c r="Q32" s="9">
        <v>1</v>
      </c>
      <c r="S32" s="7">
        <v>0.55208333333333304</v>
      </c>
      <c r="T32" s="10">
        <f t="shared" si="2"/>
        <v>99</v>
      </c>
      <c r="U32" s="10">
        <f t="shared" si="2"/>
        <v>99</v>
      </c>
      <c r="V32" s="10">
        <f t="shared" si="2"/>
        <v>99</v>
      </c>
      <c r="W32" s="10">
        <f t="shared" si="2"/>
        <v>99</v>
      </c>
      <c r="X32" s="10">
        <f t="shared" si="2"/>
        <v>1</v>
      </c>
    </row>
    <row r="33" spans="1:33" x14ac:dyDescent="0.25">
      <c r="B33" s="7">
        <v>0.625</v>
      </c>
      <c r="C33" s="8">
        <v>5</v>
      </c>
      <c r="D33" s="8">
        <v>10</v>
      </c>
      <c r="E33" s="8">
        <v>0</v>
      </c>
      <c r="F33" s="8">
        <v>3</v>
      </c>
      <c r="G33" s="8">
        <v>1</v>
      </c>
      <c r="J33" s="7">
        <v>0.625</v>
      </c>
      <c r="K33" s="15">
        <v>0</v>
      </c>
      <c r="L33" s="15">
        <v>0</v>
      </c>
      <c r="M33" s="15">
        <v>0</v>
      </c>
      <c r="N33" s="15">
        <v>1</v>
      </c>
      <c r="O33" s="15">
        <v>0</v>
      </c>
      <c r="P33">
        <f t="shared" si="1"/>
        <v>1</v>
      </c>
      <c r="Q33" s="9">
        <v>1</v>
      </c>
      <c r="S33" s="7">
        <v>0.625</v>
      </c>
      <c r="T33" s="10">
        <f t="shared" si="2"/>
        <v>5</v>
      </c>
      <c r="U33" s="10">
        <f t="shared" si="2"/>
        <v>10</v>
      </c>
      <c r="V33" s="10">
        <f t="shared" si="2"/>
        <v>99</v>
      </c>
      <c r="W33" s="10">
        <f t="shared" si="2"/>
        <v>3</v>
      </c>
      <c r="X33" s="10">
        <f t="shared" si="2"/>
        <v>1</v>
      </c>
    </row>
    <row r="34" spans="1:33" x14ac:dyDescent="0.25">
      <c r="B34" s="7">
        <v>0.69791666666666696</v>
      </c>
      <c r="C34" s="8">
        <v>0</v>
      </c>
      <c r="D34" s="8">
        <v>9</v>
      </c>
      <c r="E34" s="8">
        <v>7</v>
      </c>
      <c r="F34" s="8">
        <v>0</v>
      </c>
      <c r="G34" s="8">
        <v>0</v>
      </c>
      <c r="J34" s="7">
        <v>0.69791666666666696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>
        <f t="shared" si="1"/>
        <v>0</v>
      </c>
      <c r="Q34" s="9">
        <v>1</v>
      </c>
      <c r="S34" s="7">
        <v>0.69791666666666696</v>
      </c>
      <c r="T34" s="10">
        <f t="shared" si="2"/>
        <v>99</v>
      </c>
      <c r="U34" s="10">
        <f t="shared" si="2"/>
        <v>9</v>
      </c>
      <c r="V34" s="10">
        <f t="shared" si="2"/>
        <v>7</v>
      </c>
      <c r="W34" s="10">
        <f t="shared" si="2"/>
        <v>99</v>
      </c>
      <c r="X34" s="10">
        <f t="shared" si="2"/>
        <v>99</v>
      </c>
    </row>
    <row r="35" spans="1:33" x14ac:dyDescent="0.25">
      <c r="K35">
        <f>SUM(K11:K34)</f>
        <v>2</v>
      </c>
      <c r="L35">
        <f t="shared" ref="L35:O35" si="3">SUM(L11:L34)</f>
        <v>2</v>
      </c>
      <c r="M35">
        <f t="shared" si="3"/>
        <v>2</v>
      </c>
      <c r="N35">
        <f t="shared" si="3"/>
        <v>2</v>
      </c>
      <c r="O35">
        <f t="shared" si="3"/>
        <v>2</v>
      </c>
      <c r="P35" t="s">
        <v>22</v>
      </c>
      <c r="Q35" s="11">
        <f>SUMPRODUCT(K11:N34,T11:W34)</f>
        <v>15</v>
      </c>
    </row>
    <row r="36" spans="1:33" x14ac:dyDescent="0.25">
      <c r="K36" t="s">
        <v>23</v>
      </c>
      <c r="L36" t="s">
        <v>23</v>
      </c>
      <c r="M36" t="s">
        <v>23</v>
      </c>
      <c r="N36" t="s">
        <v>23</v>
      </c>
      <c r="O36" t="s">
        <v>23</v>
      </c>
    </row>
    <row r="37" spans="1:33" x14ac:dyDescent="0.25">
      <c r="B37" s="12" t="s">
        <v>24</v>
      </c>
      <c r="K37">
        <v>2</v>
      </c>
      <c r="L37">
        <v>2</v>
      </c>
      <c r="M37">
        <v>2</v>
      </c>
      <c r="N37">
        <v>2</v>
      </c>
      <c r="O37">
        <v>2</v>
      </c>
    </row>
    <row r="38" spans="1:33" x14ac:dyDescent="0.25">
      <c r="C38" t="s">
        <v>25</v>
      </c>
      <c r="D38" t="s">
        <v>26</v>
      </c>
      <c r="E38" t="s">
        <v>27</v>
      </c>
      <c r="F38" t="s">
        <v>28</v>
      </c>
      <c r="G38" t="s">
        <v>29</v>
      </c>
      <c r="H38" t="s">
        <v>30</v>
      </c>
      <c r="I38" t="s">
        <v>31</v>
      </c>
      <c r="J38" t="s">
        <v>32</v>
      </c>
      <c r="K38" t="s">
        <v>33</v>
      </c>
      <c r="L38" t="s">
        <v>34</v>
      </c>
      <c r="M38" t="s">
        <v>35</v>
      </c>
      <c r="N38" t="s">
        <v>36</v>
      </c>
      <c r="O38" t="s">
        <v>37</v>
      </c>
      <c r="P38" t="s">
        <v>38</v>
      </c>
      <c r="Q38" t="s">
        <v>39</v>
      </c>
      <c r="R38" t="s">
        <v>40</v>
      </c>
      <c r="S38" t="s">
        <v>41</v>
      </c>
      <c r="T38" t="s">
        <v>42</v>
      </c>
      <c r="U38" t="s">
        <v>43</v>
      </c>
      <c r="V38" t="s">
        <v>44</v>
      </c>
      <c r="W38" t="s">
        <v>45</v>
      </c>
      <c r="X38" t="s">
        <v>46</v>
      </c>
      <c r="Y38" t="s">
        <v>47</v>
      </c>
      <c r="Z38" t="s">
        <v>48</v>
      </c>
      <c r="AA38" t="s">
        <v>49</v>
      </c>
      <c r="AB38" t="s">
        <v>50</v>
      </c>
      <c r="AC38" t="s">
        <v>51</v>
      </c>
      <c r="AD38" t="s">
        <v>52</v>
      </c>
      <c r="AE38" t="s">
        <v>53</v>
      </c>
      <c r="AF38" t="s">
        <v>54</v>
      </c>
    </row>
    <row r="39" spans="1:33" x14ac:dyDescent="0.25">
      <c r="A39" t="s">
        <v>18</v>
      </c>
      <c r="B39" s="7">
        <v>0.33333333333333331</v>
      </c>
      <c r="C39" s="8">
        <v>1</v>
      </c>
      <c r="D39" s="8">
        <v>0</v>
      </c>
      <c r="E39" s="8">
        <v>0</v>
      </c>
      <c r="F39" s="8">
        <v>1</v>
      </c>
      <c r="G39" s="8">
        <v>0</v>
      </c>
      <c r="H39" s="8">
        <v>0</v>
      </c>
      <c r="I39" s="8">
        <v>0</v>
      </c>
      <c r="J39" s="8">
        <v>0</v>
      </c>
      <c r="K39" s="8">
        <v>1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1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1</v>
      </c>
      <c r="AG39">
        <f>SUM(C39:AF39)</f>
        <v>5</v>
      </c>
    </row>
    <row r="40" spans="1:33" x14ac:dyDescent="0.25">
      <c r="B40" s="7">
        <v>0.40625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1</v>
      </c>
      <c r="J40" s="8">
        <v>1</v>
      </c>
      <c r="K40" s="8">
        <v>1</v>
      </c>
      <c r="L40" s="8">
        <v>1</v>
      </c>
      <c r="M40" s="8">
        <v>0</v>
      </c>
      <c r="N40" s="8">
        <v>0</v>
      </c>
      <c r="O40" s="8">
        <v>1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1</v>
      </c>
      <c r="Y40" s="8">
        <v>1</v>
      </c>
      <c r="Z40" s="8">
        <v>0</v>
      </c>
      <c r="AA40" s="8">
        <v>0</v>
      </c>
      <c r="AB40" s="8">
        <v>0</v>
      </c>
      <c r="AC40" s="8">
        <v>1</v>
      </c>
      <c r="AD40" s="8">
        <v>0</v>
      </c>
      <c r="AE40" s="8">
        <v>0</v>
      </c>
      <c r="AF40" s="8">
        <v>1</v>
      </c>
      <c r="AG40">
        <f t="shared" ref="AG40:AG62" si="4">SUM(C40:AF40)</f>
        <v>9</v>
      </c>
    </row>
    <row r="41" spans="1:33" x14ac:dyDescent="0.25">
      <c r="B41" s="7">
        <v>0.47916666666666669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1</v>
      </c>
      <c r="Q41" s="8">
        <v>0</v>
      </c>
      <c r="R41" s="8">
        <v>1</v>
      </c>
      <c r="S41" s="8">
        <v>0</v>
      </c>
      <c r="T41" s="8">
        <v>0</v>
      </c>
      <c r="U41" s="8">
        <v>1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>
        <f t="shared" si="4"/>
        <v>3</v>
      </c>
    </row>
    <row r="42" spans="1:33" x14ac:dyDescent="0.25">
      <c r="B42" s="7">
        <v>0.55208333333333304</v>
      </c>
      <c r="C42" s="8">
        <v>0</v>
      </c>
      <c r="D42" s="8">
        <v>1</v>
      </c>
      <c r="E42" s="8">
        <v>1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1</v>
      </c>
      <c r="P42" s="8">
        <v>0</v>
      </c>
      <c r="Q42" s="8">
        <v>0</v>
      </c>
      <c r="R42" s="8">
        <v>1</v>
      </c>
      <c r="S42" s="8">
        <v>0</v>
      </c>
      <c r="T42" s="8">
        <v>0</v>
      </c>
      <c r="U42" s="8">
        <v>0</v>
      </c>
      <c r="V42" s="8">
        <v>1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1</v>
      </c>
      <c r="AE42" s="8">
        <v>1</v>
      </c>
      <c r="AF42" s="8">
        <v>1</v>
      </c>
      <c r="AG42">
        <f t="shared" si="4"/>
        <v>8</v>
      </c>
    </row>
    <row r="43" spans="1:33" x14ac:dyDescent="0.25">
      <c r="B43" s="7">
        <v>0.625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1</v>
      </c>
      <c r="J43" s="8">
        <v>0</v>
      </c>
      <c r="K43" s="8">
        <v>0</v>
      </c>
      <c r="L43" s="8">
        <v>1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1</v>
      </c>
      <c r="Y43" s="8">
        <v>0</v>
      </c>
      <c r="Z43" s="8">
        <v>0</v>
      </c>
      <c r="AA43" s="8">
        <v>1</v>
      </c>
      <c r="AB43" s="8">
        <v>1</v>
      </c>
      <c r="AC43" s="8">
        <v>0</v>
      </c>
      <c r="AD43" s="8">
        <v>1</v>
      </c>
      <c r="AE43" s="8">
        <v>0</v>
      </c>
      <c r="AF43" s="8">
        <v>0</v>
      </c>
      <c r="AG43">
        <f t="shared" si="4"/>
        <v>6</v>
      </c>
    </row>
    <row r="44" spans="1:33" x14ac:dyDescent="0.25">
      <c r="B44" s="7">
        <v>0.69791666666666696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1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1</v>
      </c>
      <c r="W44" s="8">
        <v>1</v>
      </c>
      <c r="X44" s="8">
        <v>0</v>
      </c>
      <c r="Y44" s="8">
        <v>0</v>
      </c>
      <c r="Z44" s="8">
        <v>1</v>
      </c>
      <c r="AA44" s="8">
        <v>0</v>
      </c>
      <c r="AB44" s="8">
        <v>1</v>
      </c>
      <c r="AC44" s="8">
        <v>0</v>
      </c>
      <c r="AD44" s="8">
        <v>1</v>
      </c>
      <c r="AE44" s="8">
        <v>0</v>
      </c>
      <c r="AF44" s="8">
        <v>0</v>
      </c>
      <c r="AG44">
        <f t="shared" si="4"/>
        <v>6</v>
      </c>
    </row>
    <row r="45" spans="1:33" x14ac:dyDescent="0.25">
      <c r="A45" t="s">
        <v>19</v>
      </c>
      <c r="B45" s="7">
        <v>0.33333333333333331</v>
      </c>
      <c r="C45" s="8">
        <v>0</v>
      </c>
      <c r="D45" s="8">
        <v>1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1</v>
      </c>
      <c r="K45" s="8">
        <v>1</v>
      </c>
      <c r="L45" s="8">
        <v>0</v>
      </c>
      <c r="M45" s="8">
        <v>0</v>
      </c>
      <c r="N45" s="8">
        <v>0</v>
      </c>
      <c r="O45" s="8">
        <v>0</v>
      </c>
      <c r="P45" s="8">
        <v>1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1</v>
      </c>
      <c r="Y45" s="8">
        <v>1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>
        <f t="shared" si="4"/>
        <v>6</v>
      </c>
    </row>
    <row r="46" spans="1:33" x14ac:dyDescent="0.25">
      <c r="B46" s="7">
        <v>0.40625</v>
      </c>
      <c r="C46" s="8">
        <v>0</v>
      </c>
      <c r="D46" s="8">
        <v>0</v>
      </c>
      <c r="E46" s="8">
        <v>0</v>
      </c>
      <c r="F46" s="8">
        <v>1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1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1</v>
      </c>
      <c r="AC46" s="8">
        <v>0</v>
      </c>
      <c r="AD46" s="8">
        <v>0</v>
      </c>
      <c r="AE46" s="8">
        <v>0</v>
      </c>
      <c r="AF46" s="8">
        <v>0</v>
      </c>
      <c r="AG46">
        <f t="shared" si="4"/>
        <v>3</v>
      </c>
    </row>
    <row r="47" spans="1:33" x14ac:dyDescent="0.25">
      <c r="B47" s="7">
        <v>0.47916666666666669</v>
      </c>
      <c r="C47" s="8">
        <v>0</v>
      </c>
      <c r="D47" s="8">
        <v>0</v>
      </c>
      <c r="E47" s="8">
        <v>0</v>
      </c>
      <c r="F47" s="8">
        <v>0</v>
      </c>
      <c r="G47" s="8">
        <v>1</v>
      </c>
      <c r="H47" s="8">
        <v>0</v>
      </c>
      <c r="I47" s="8">
        <v>0</v>
      </c>
      <c r="J47" s="8">
        <v>0</v>
      </c>
      <c r="K47" s="8">
        <v>0</v>
      </c>
      <c r="L47" s="8">
        <v>1</v>
      </c>
      <c r="M47" s="8">
        <v>0</v>
      </c>
      <c r="N47" s="8">
        <v>1</v>
      </c>
      <c r="O47" s="8">
        <v>1</v>
      </c>
      <c r="P47" s="8">
        <v>1</v>
      </c>
      <c r="Q47" s="8">
        <v>0</v>
      </c>
      <c r="R47" s="8">
        <v>0</v>
      </c>
      <c r="S47" s="8">
        <v>0</v>
      </c>
      <c r="T47" s="8">
        <v>1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1</v>
      </c>
      <c r="AB47" s="8">
        <v>0</v>
      </c>
      <c r="AC47" s="8">
        <v>1</v>
      </c>
      <c r="AD47" s="8">
        <v>0</v>
      </c>
      <c r="AE47" s="8">
        <v>0</v>
      </c>
      <c r="AF47" s="8">
        <v>0</v>
      </c>
      <c r="AG47">
        <f t="shared" si="4"/>
        <v>8</v>
      </c>
    </row>
    <row r="48" spans="1:33" x14ac:dyDescent="0.25">
      <c r="B48" s="7">
        <v>0.55208333333333304</v>
      </c>
      <c r="C48" s="8">
        <v>1</v>
      </c>
      <c r="D48" s="8">
        <v>1</v>
      </c>
      <c r="E48" s="8">
        <v>1</v>
      </c>
      <c r="F48" s="8">
        <v>0</v>
      </c>
      <c r="G48" s="8">
        <v>0</v>
      </c>
      <c r="H48" s="8">
        <v>1</v>
      </c>
      <c r="I48" s="8">
        <v>1</v>
      </c>
      <c r="J48" s="8">
        <v>0</v>
      </c>
      <c r="K48" s="8">
        <v>0</v>
      </c>
      <c r="L48" s="8">
        <v>1</v>
      </c>
      <c r="M48" s="8">
        <v>1</v>
      </c>
      <c r="N48" s="8">
        <v>0</v>
      </c>
      <c r="O48" s="8">
        <v>0</v>
      </c>
      <c r="P48" s="8">
        <v>0</v>
      </c>
      <c r="Q48" s="8">
        <v>0</v>
      </c>
      <c r="R48" s="8">
        <v>1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1</v>
      </c>
      <c r="AB48" s="8">
        <v>0</v>
      </c>
      <c r="AC48" s="8">
        <v>1</v>
      </c>
      <c r="AD48" s="8">
        <v>0</v>
      </c>
      <c r="AE48" s="8">
        <v>0</v>
      </c>
      <c r="AF48" s="8">
        <v>0</v>
      </c>
      <c r="AG48">
        <f t="shared" si="4"/>
        <v>10</v>
      </c>
    </row>
    <row r="49" spans="1:33" x14ac:dyDescent="0.25">
      <c r="B49" s="7">
        <v>0.625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1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1</v>
      </c>
      <c r="U49" s="8">
        <v>0</v>
      </c>
      <c r="V49" s="8">
        <v>0</v>
      </c>
      <c r="W49" s="8">
        <v>0</v>
      </c>
      <c r="X49" s="8">
        <v>0</v>
      </c>
      <c r="Y49" s="8">
        <v>1</v>
      </c>
      <c r="Z49" s="8">
        <v>0</v>
      </c>
      <c r="AA49" s="8">
        <v>0</v>
      </c>
      <c r="AB49" s="8">
        <v>0</v>
      </c>
      <c r="AC49" s="8">
        <v>0</v>
      </c>
      <c r="AD49" s="8">
        <v>1</v>
      </c>
      <c r="AE49" s="8">
        <v>1</v>
      </c>
      <c r="AF49" s="8">
        <v>0</v>
      </c>
      <c r="AG49">
        <f t="shared" si="4"/>
        <v>5</v>
      </c>
    </row>
    <row r="50" spans="1:33" x14ac:dyDescent="0.25">
      <c r="B50" s="7">
        <v>0.69791666666666696</v>
      </c>
      <c r="C50" s="8">
        <v>1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1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1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1</v>
      </c>
      <c r="AF50" s="8">
        <v>0</v>
      </c>
      <c r="AG50">
        <f t="shared" si="4"/>
        <v>4</v>
      </c>
    </row>
    <row r="51" spans="1:33" x14ac:dyDescent="0.25">
      <c r="A51" t="s">
        <v>20</v>
      </c>
      <c r="B51" s="7">
        <v>0.33333333333333331</v>
      </c>
      <c r="C51" s="8">
        <v>0</v>
      </c>
      <c r="D51" s="8">
        <v>0</v>
      </c>
      <c r="E51" s="8">
        <v>1</v>
      </c>
      <c r="F51" s="8">
        <v>0</v>
      </c>
      <c r="G51" s="8">
        <v>0</v>
      </c>
      <c r="H51" s="8">
        <v>0</v>
      </c>
      <c r="I51" s="8">
        <v>1</v>
      </c>
      <c r="J51" s="8">
        <v>1</v>
      </c>
      <c r="K51" s="8">
        <v>0</v>
      </c>
      <c r="L51" s="8">
        <v>0</v>
      </c>
      <c r="M51" s="8">
        <v>1</v>
      </c>
      <c r="N51" s="8">
        <v>1</v>
      </c>
      <c r="O51" s="8">
        <v>0</v>
      </c>
      <c r="P51" s="8">
        <v>0</v>
      </c>
      <c r="Q51" s="8">
        <v>1</v>
      </c>
      <c r="R51" s="8">
        <v>0</v>
      </c>
      <c r="S51" s="8">
        <v>0</v>
      </c>
      <c r="T51" s="8">
        <v>0</v>
      </c>
      <c r="U51" s="8">
        <v>1</v>
      </c>
      <c r="V51" s="8">
        <v>1</v>
      </c>
      <c r="W51" s="8">
        <v>0</v>
      </c>
      <c r="X51" s="8">
        <v>1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1</v>
      </c>
      <c r="AE51" s="8">
        <v>0</v>
      </c>
      <c r="AF51" s="8">
        <v>0</v>
      </c>
      <c r="AG51">
        <f t="shared" si="4"/>
        <v>10</v>
      </c>
    </row>
    <row r="52" spans="1:33" x14ac:dyDescent="0.25">
      <c r="B52" s="7">
        <v>0.40625</v>
      </c>
      <c r="C52" s="8">
        <v>1</v>
      </c>
      <c r="D52" s="8">
        <v>0</v>
      </c>
      <c r="E52" s="8">
        <v>0</v>
      </c>
      <c r="F52" s="8">
        <v>1</v>
      </c>
      <c r="G52" s="8">
        <v>0</v>
      </c>
      <c r="H52" s="8">
        <v>1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1</v>
      </c>
      <c r="R52" s="8">
        <v>0</v>
      </c>
      <c r="S52" s="8">
        <v>0</v>
      </c>
      <c r="T52" s="8">
        <v>1</v>
      </c>
      <c r="U52" s="8">
        <v>1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1</v>
      </c>
      <c r="AD52" s="8">
        <v>0</v>
      </c>
      <c r="AE52" s="8">
        <v>1</v>
      </c>
      <c r="AF52" s="8">
        <v>0</v>
      </c>
      <c r="AG52">
        <f t="shared" si="4"/>
        <v>8</v>
      </c>
    </row>
    <row r="53" spans="1:33" x14ac:dyDescent="0.25">
      <c r="B53" s="7">
        <v>0.47916666666666669</v>
      </c>
      <c r="C53" s="8">
        <v>0</v>
      </c>
      <c r="D53" s="8">
        <v>0</v>
      </c>
      <c r="E53" s="8">
        <v>1</v>
      </c>
      <c r="F53" s="8">
        <v>1</v>
      </c>
      <c r="G53" s="8">
        <v>1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1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>
        <f t="shared" si="4"/>
        <v>4</v>
      </c>
    </row>
    <row r="54" spans="1:33" x14ac:dyDescent="0.25">
      <c r="B54" s="7">
        <v>0.55208333333333304</v>
      </c>
      <c r="C54" s="8">
        <v>0</v>
      </c>
      <c r="D54" s="8">
        <v>0</v>
      </c>
      <c r="E54" s="8">
        <v>0</v>
      </c>
      <c r="F54" s="8">
        <v>0</v>
      </c>
      <c r="G54" s="8">
        <v>1</v>
      </c>
      <c r="H54" s="8">
        <v>0</v>
      </c>
      <c r="I54" s="8">
        <v>0</v>
      </c>
      <c r="J54" s="8">
        <v>0</v>
      </c>
      <c r="K54" s="8">
        <v>1</v>
      </c>
      <c r="L54" s="8">
        <v>0</v>
      </c>
      <c r="M54" s="8">
        <v>1</v>
      </c>
      <c r="N54" s="8">
        <v>0</v>
      </c>
      <c r="O54" s="8">
        <v>0</v>
      </c>
      <c r="P54" s="8">
        <v>0</v>
      </c>
      <c r="Q54" s="8">
        <v>1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1</v>
      </c>
      <c r="Z54" s="8">
        <v>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1</v>
      </c>
      <c r="AG54">
        <f t="shared" si="4"/>
        <v>7</v>
      </c>
    </row>
    <row r="55" spans="1:33" x14ac:dyDescent="0.25">
      <c r="B55" s="7">
        <v>0.625</v>
      </c>
      <c r="C55" s="8">
        <v>1</v>
      </c>
      <c r="D55" s="8">
        <v>0</v>
      </c>
      <c r="E55" s="8">
        <v>0</v>
      </c>
      <c r="F55" s="8">
        <v>1</v>
      </c>
      <c r="G55" s="8">
        <v>0</v>
      </c>
      <c r="H55" s="8">
        <v>0</v>
      </c>
      <c r="I55" s="8">
        <v>0</v>
      </c>
      <c r="J55" s="8">
        <v>0</v>
      </c>
      <c r="K55" s="8">
        <v>1</v>
      </c>
      <c r="L55" s="8">
        <v>1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1</v>
      </c>
      <c r="T55" s="8">
        <v>1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1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>
        <f t="shared" si="4"/>
        <v>7</v>
      </c>
    </row>
    <row r="56" spans="1:33" x14ac:dyDescent="0.25">
      <c r="B56" s="7">
        <v>0.69791666666666696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1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1</v>
      </c>
      <c r="R56" s="8">
        <v>0</v>
      </c>
      <c r="S56" s="8">
        <v>1</v>
      </c>
      <c r="T56" s="8">
        <v>0</v>
      </c>
      <c r="U56" s="8">
        <v>0</v>
      </c>
      <c r="V56" s="8">
        <v>1</v>
      </c>
      <c r="W56" s="8">
        <v>1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1</v>
      </c>
      <c r="AF56" s="8">
        <v>0</v>
      </c>
      <c r="AG56">
        <f t="shared" si="4"/>
        <v>6</v>
      </c>
    </row>
    <row r="57" spans="1:33" x14ac:dyDescent="0.25">
      <c r="A57" t="s">
        <v>21</v>
      </c>
      <c r="B57" s="7">
        <v>0.33333333333333331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1</v>
      </c>
      <c r="O57" s="8">
        <v>0</v>
      </c>
      <c r="P57" s="8">
        <v>0</v>
      </c>
      <c r="Q57" s="8">
        <v>0</v>
      </c>
      <c r="R57" s="8">
        <v>1</v>
      </c>
      <c r="S57" s="8">
        <v>1</v>
      </c>
      <c r="T57" s="8">
        <v>1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1</v>
      </c>
      <c r="AA57" s="8">
        <v>1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>
        <f t="shared" si="4"/>
        <v>6</v>
      </c>
    </row>
    <row r="58" spans="1:33" x14ac:dyDescent="0.25">
      <c r="B58" s="7">
        <v>0.40625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1</v>
      </c>
      <c r="I58" s="8">
        <v>0</v>
      </c>
      <c r="J58" s="8">
        <v>0</v>
      </c>
      <c r="K58" s="8">
        <v>0</v>
      </c>
      <c r="L58" s="8">
        <v>0</v>
      </c>
      <c r="M58" s="8">
        <v>1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1</v>
      </c>
      <c r="Y58" s="8">
        <v>0</v>
      </c>
      <c r="Z58" s="8">
        <v>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>
        <f t="shared" si="4"/>
        <v>4</v>
      </c>
    </row>
    <row r="59" spans="1:33" x14ac:dyDescent="0.25">
      <c r="B59" s="7">
        <v>0.47916666666666669</v>
      </c>
      <c r="C59" s="8">
        <v>0</v>
      </c>
      <c r="D59" s="8">
        <v>1</v>
      </c>
      <c r="E59" s="8">
        <v>0</v>
      </c>
      <c r="F59" s="8">
        <v>0</v>
      </c>
      <c r="G59" s="8">
        <v>1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1</v>
      </c>
      <c r="O59" s="8">
        <v>0</v>
      </c>
      <c r="P59" s="8">
        <v>1</v>
      </c>
      <c r="Q59" s="8">
        <v>0</v>
      </c>
      <c r="R59" s="8">
        <v>1</v>
      </c>
      <c r="S59" s="8">
        <v>0</v>
      </c>
      <c r="T59" s="8">
        <v>0</v>
      </c>
      <c r="U59" s="8">
        <v>0</v>
      </c>
      <c r="V59" s="8">
        <v>0</v>
      </c>
      <c r="W59" s="8">
        <v>1</v>
      </c>
      <c r="X59" s="8">
        <v>0</v>
      </c>
      <c r="Y59" s="8">
        <v>0</v>
      </c>
      <c r="Z59" s="8">
        <v>0</v>
      </c>
      <c r="AA59" s="8">
        <v>0</v>
      </c>
      <c r="AB59" s="8">
        <v>1</v>
      </c>
      <c r="AC59" s="8">
        <v>0</v>
      </c>
      <c r="AD59" s="8">
        <v>0</v>
      </c>
      <c r="AE59" s="8">
        <v>0</v>
      </c>
      <c r="AF59" s="8">
        <v>1</v>
      </c>
      <c r="AG59">
        <f t="shared" si="4"/>
        <v>8</v>
      </c>
    </row>
    <row r="60" spans="1:33" x14ac:dyDescent="0.25">
      <c r="B60" s="7">
        <v>0.55208333333333304</v>
      </c>
      <c r="C60" s="8">
        <v>0</v>
      </c>
      <c r="D60" s="8">
        <v>1</v>
      </c>
      <c r="E60" s="8">
        <v>0</v>
      </c>
      <c r="F60" s="8">
        <v>0</v>
      </c>
      <c r="G60" s="8">
        <v>1</v>
      </c>
      <c r="H60" s="8">
        <v>0</v>
      </c>
      <c r="I60" s="8">
        <v>1</v>
      </c>
      <c r="J60" s="8">
        <v>1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1</v>
      </c>
      <c r="T60" s="8">
        <v>0</v>
      </c>
      <c r="U60" s="8">
        <v>1</v>
      </c>
      <c r="V60" s="8">
        <v>0</v>
      </c>
      <c r="W60" s="8">
        <v>1</v>
      </c>
      <c r="X60" s="8">
        <v>0</v>
      </c>
      <c r="Y60" s="8">
        <v>1</v>
      </c>
      <c r="Z60" s="8">
        <v>1</v>
      </c>
      <c r="AA60" s="8">
        <v>0</v>
      </c>
      <c r="AB60" s="8">
        <v>1</v>
      </c>
      <c r="AC60" s="8">
        <v>0</v>
      </c>
      <c r="AD60" s="8">
        <v>0</v>
      </c>
      <c r="AE60" s="8">
        <v>0</v>
      </c>
      <c r="AF60" s="8">
        <v>0</v>
      </c>
      <c r="AG60">
        <f t="shared" si="4"/>
        <v>10</v>
      </c>
    </row>
    <row r="61" spans="1:33" x14ac:dyDescent="0.25">
      <c r="B61" s="7">
        <v>0.625</v>
      </c>
      <c r="C61" s="8">
        <v>0</v>
      </c>
      <c r="D61" s="8">
        <v>0</v>
      </c>
      <c r="E61" s="8">
        <v>1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1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1</v>
      </c>
      <c r="V61" s="8">
        <v>1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1</v>
      </c>
      <c r="AD61" s="8">
        <v>0</v>
      </c>
      <c r="AE61" s="8">
        <v>0</v>
      </c>
      <c r="AF61" s="8">
        <v>0</v>
      </c>
      <c r="AG61">
        <f t="shared" si="4"/>
        <v>5</v>
      </c>
    </row>
    <row r="62" spans="1:33" x14ac:dyDescent="0.25">
      <c r="B62" s="7">
        <v>0.69791666666666696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1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1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>
        <f t="shared" si="4"/>
        <v>2</v>
      </c>
    </row>
    <row r="63" spans="1:33" x14ac:dyDescent="0.25">
      <c r="C63">
        <f>SUM(C39:C62)</f>
        <v>5</v>
      </c>
      <c r="D63">
        <f t="shared" ref="D63:AF63" si="5">SUM(D39:D62)</f>
        <v>5</v>
      </c>
      <c r="E63">
        <f t="shared" si="5"/>
        <v>5</v>
      </c>
      <c r="F63">
        <f t="shared" si="5"/>
        <v>5</v>
      </c>
      <c r="G63">
        <f t="shared" si="5"/>
        <v>5</v>
      </c>
      <c r="H63">
        <f t="shared" si="5"/>
        <v>5</v>
      </c>
      <c r="I63">
        <f t="shared" si="5"/>
        <v>5</v>
      </c>
      <c r="J63">
        <f t="shared" si="5"/>
        <v>5</v>
      </c>
      <c r="K63">
        <f t="shared" si="5"/>
        <v>5</v>
      </c>
      <c r="L63">
        <f t="shared" si="5"/>
        <v>5</v>
      </c>
      <c r="M63">
        <f t="shared" si="5"/>
        <v>5</v>
      </c>
      <c r="N63">
        <f t="shared" si="5"/>
        <v>5</v>
      </c>
      <c r="O63">
        <f t="shared" si="5"/>
        <v>5</v>
      </c>
      <c r="P63">
        <f t="shared" si="5"/>
        <v>5</v>
      </c>
      <c r="Q63">
        <f t="shared" si="5"/>
        <v>5</v>
      </c>
      <c r="R63">
        <f t="shared" si="5"/>
        <v>5</v>
      </c>
      <c r="S63">
        <f t="shared" si="5"/>
        <v>5</v>
      </c>
      <c r="T63">
        <f t="shared" si="5"/>
        <v>5</v>
      </c>
      <c r="U63">
        <f t="shared" si="5"/>
        <v>5</v>
      </c>
      <c r="V63">
        <f t="shared" si="5"/>
        <v>5</v>
      </c>
      <c r="W63">
        <f t="shared" si="5"/>
        <v>5</v>
      </c>
      <c r="X63">
        <f t="shared" si="5"/>
        <v>5</v>
      </c>
      <c r="Y63">
        <f t="shared" si="5"/>
        <v>5</v>
      </c>
      <c r="Z63">
        <f t="shared" si="5"/>
        <v>5</v>
      </c>
      <c r="AA63">
        <f t="shared" si="5"/>
        <v>5</v>
      </c>
      <c r="AB63">
        <f t="shared" si="5"/>
        <v>5</v>
      </c>
      <c r="AC63">
        <f t="shared" si="5"/>
        <v>5</v>
      </c>
      <c r="AD63">
        <f t="shared" si="5"/>
        <v>5</v>
      </c>
      <c r="AE63">
        <f t="shared" si="5"/>
        <v>5</v>
      </c>
      <c r="AF63">
        <f t="shared" si="5"/>
        <v>5</v>
      </c>
    </row>
    <row r="66" spans="3:32" x14ac:dyDescent="0.25">
      <c r="C66">
        <f>SUMPRODUCT($P$11:$P$34,C39:C62)</f>
        <v>2</v>
      </c>
      <c r="D66">
        <f t="shared" ref="D66:AF66" si="6">SUMPRODUCT($P$11:$P$34,D39:D62)</f>
        <v>2</v>
      </c>
      <c r="E66">
        <f t="shared" si="6"/>
        <v>2</v>
      </c>
      <c r="F66">
        <f t="shared" si="6"/>
        <v>2</v>
      </c>
      <c r="G66">
        <f t="shared" si="6"/>
        <v>1</v>
      </c>
      <c r="H66">
        <f t="shared" si="6"/>
        <v>1</v>
      </c>
      <c r="I66">
        <f t="shared" si="6"/>
        <v>2</v>
      </c>
      <c r="J66">
        <f t="shared" si="6"/>
        <v>1</v>
      </c>
      <c r="K66">
        <f t="shared" si="6"/>
        <v>2</v>
      </c>
      <c r="L66">
        <f t="shared" si="6"/>
        <v>2</v>
      </c>
      <c r="M66">
        <f t="shared" si="6"/>
        <v>1</v>
      </c>
      <c r="N66">
        <f t="shared" si="6"/>
        <v>1</v>
      </c>
      <c r="O66">
        <f t="shared" si="6"/>
        <v>1</v>
      </c>
      <c r="P66">
        <f t="shared" si="6"/>
        <v>2</v>
      </c>
      <c r="Q66">
        <f t="shared" si="6"/>
        <v>1</v>
      </c>
      <c r="R66">
        <f t="shared" si="6"/>
        <v>2</v>
      </c>
      <c r="S66">
        <f t="shared" si="6"/>
        <v>3</v>
      </c>
      <c r="T66">
        <f t="shared" si="6"/>
        <v>2</v>
      </c>
      <c r="U66">
        <f t="shared" si="6"/>
        <v>3</v>
      </c>
      <c r="V66">
        <f t="shared" si="6"/>
        <v>4</v>
      </c>
      <c r="W66">
        <f t="shared" si="6"/>
        <v>4</v>
      </c>
      <c r="X66">
        <f t="shared" si="6"/>
        <v>1</v>
      </c>
      <c r="Y66">
        <f t="shared" si="6"/>
        <v>2</v>
      </c>
      <c r="Z66">
        <f t="shared" si="6"/>
        <v>2</v>
      </c>
      <c r="AA66">
        <f t="shared" si="6"/>
        <v>2</v>
      </c>
      <c r="AB66">
        <f t="shared" si="6"/>
        <v>3</v>
      </c>
      <c r="AC66">
        <f t="shared" si="6"/>
        <v>1</v>
      </c>
      <c r="AD66">
        <f t="shared" si="6"/>
        <v>4</v>
      </c>
      <c r="AE66">
        <f t="shared" si="6"/>
        <v>3</v>
      </c>
      <c r="AF66">
        <f t="shared" si="6"/>
        <v>2</v>
      </c>
    </row>
    <row r="68" spans="3:32" x14ac:dyDescent="0.25"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809F1-A022-40D9-96D9-0D15854175C5}">
  <dimension ref="A1:AG68"/>
  <sheetViews>
    <sheetView topLeftCell="A3" workbookViewId="0">
      <selection activeCell="K11" sqref="K11:O34"/>
    </sheetView>
  </sheetViews>
  <sheetFormatPr defaultRowHeight="15" x14ac:dyDescent="0.25"/>
  <cols>
    <col min="1" max="1" width="18.28515625" customWidth="1"/>
    <col min="2" max="2" width="14.7109375" customWidth="1"/>
    <col min="3" max="6" width="9" bestFit="1" customWidth="1"/>
    <col min="7" max="7" width="15.42578125" customWidth="1"/>
    <col min="8" max="8" width="10.7109375" customWidth="1"/>
    <col min="9" max="9" width="11.28515625" customWidth="1"/>
    <col min="10" max="10" width="14.85546875" customWidth="1"/>
    <col min="11" max="11" width="9" bestFit="1" customWidth="1"/>
    <col min="12" max="12" width="15.5703125" customWidth="1"/>
    <col min="13" max="13" width="9" bestFit="1" customWidth="1"/>
    <col min="14" max="15" width="12" bestFit="1" customWidth="1"/>
    <col min="16" max="16" width="10.28515625" customWidth="1"/>
    <col min="17" max="17" width="9" bestFit="1" customWidth="1"/>
    <col min="18" max="18" width="11" customWidth="1"/>
    <col min="19" max="19" width="11.7109375" bestFit="1" customWidth="1"/>
    <col min="20" max="20" width="14.140625" customWidth="1"/>
    <col min="21" max="22" width="9" bestFit="1" customWidth="1"/>
    <col min="23" max="23" width="10" customWidth="1"/>
    <col min="24" max="24" width="8.28515625" customWidth="1"/>
    <col min="25" max="25" width="9" bestFit="1" customWidth="1"/>
    <col min="26" max="26" width="13.7109375" customWidth="1"/>
    <col min="27" max="31" width="9" bestFit="1" customWidth="1"/>
    <col min="32" max="32" width="10.7109375" customWidth="1"/>
    <col min="33" max="33" width="9" bestFit="1" customWidth="1"/>
    <col min="35" max="35" width="13.28515625" customWidth="1"/>
  </cols>
  <sheetData>
    <row r="1" spans="1:30" ht="15.75" thickBot="1" x14ac:dyDescent="0.3"/>
    <row r="2" spans="1:30" ht="16.5" thickTop="1" thickBot="1" x14ac:dyDescent="0.3">
      <c r="E2" s="1" t="s">
        <v>0</v>
      </c>
      <c r="F2" s="2">
        <f>P11</f>
        <v>1</v>
      </c>
      <c r="G2" s="3"/>
      <c r="J2" s="1" t="s">
        <v>1</v>
      </c>
      <c r="K2" s="2">
        <f>K35</f>
        <v>2</v>
      </c>
      <c r="L2" s="3"/>
      <c r="R2" s="1" t="s">
        <v>2</v>
      </c>
      <c r="S2" s="2">
        <f>C66</f>
        <v>2</v>
      </c>
      <c r="T2" s="3"/>
    </row>
    <row r="3" spans="1:30" ht="16.5" thickTop="1" thickBot="1" x14ac:dyDescent="0.3">
      <c r="E3" s="1" t="s">
        <v>3</v>
      </c>
      <c r="F3" s="2">
        <f>P34</f>
        <v>0</v>
      </c>
      <c r="G3" s="3"/>
      <c r="J3" s="1" t="s">
        <v>4</v>
      </c>
      <c r="K3" s="2">
        <f>O35</f>
        <v>2</v>
      </c>
      <c r="L3" s="3"/>
      <c r="R3" s="1" t="s">
        <v>5</v>
      </c>
      <c r="S3" s="2">
        <f>AF66</f>
        <v>2</v>
      </c>
      <c r="T3" s="3"/>
    </row>
    <row r="4" spans="1:30" ht="16.5" thickTop="1" thickBot="1" x14ac:dyDescent="0.3">
      <c r="G4" s="4"/>
      <c r="L4" s="4"/>
      <c r="R4" s="1" t="s">
        <v>6</v>
      </c>
      <c r="S4" s="2">
        <f>Q35</f>
        <v>22</v>
      </c>
      <c r="T4" s="3"/>
    </row>
    <row r="5" spans="1:30" ht="16.5" thickTop="1" thickBot="1" x14ac:dyDescent="0.3">
      <c r="G5" s="4"/>
      <c r="L5" s="4"/>
    </row>
    <row r="6" spans="1:30" ht="16.5" thickTop="1" thickBot="1" x14ac:dyDescent="0.3">
      <c r="E6" s="1" t="s">
        <v>7</v>
      </c>
      <c r="F6" s="2">
        <f>AA11</f>
        <v>4</v>
      </c>
      <c r="G6" s="3"/>
      <c r="J6" s="1" t="s">
        <v>8</v>
      </c>
      <c r="K6" s="2">
        <f>K9</f>
        <v>6</v>
      </c>
      <c r="L6" s="3"/>
      <c r="N6" s="14" t="s">
        <v>70</v>
      </c>
    </row>
    <row r="7" spans="1:30" ht="16.5" thickTop="1" thickBot="1" x14ac:dyDescent="0.3">
      <c r="E7" s="1" t="s">
        <v>9</v>
      </c>
      <c r="F7" s="2">
        <f>AA12</f>
        <v>6</v>
      </c>
      <c r="G7" s="3"/>
      <c r="J7" s="1" t="s">
        <v>10</v>
      </c>
      <c r="K7" s="2">
        <f>N9</f>
        <v>5</v>
      </c>
      <c r="L7" s="3"/>
    </row>
    <row r="8" spans="1:30" s="5" customFormat="1" ht="16.5" thickTop="1" thickBot="1" x14ac:dyDescent="0.3"/>
    <row r="9" spans="1:30" ht="15.75" thickTop="1" x14ac:dyDescent="0.25">
      <c r="C9" s="6" t="s">
        <v>11</v>
      </c>
      <c r="I9" t="s">
        <v>55</v>
      </c>
      <c r="K9">
        <f>SUMPRODUCT(K11:K34,T11:T34)</f>
        <v>6</v>
      </c>
      <c r="L9">
        <f t="shared" ref="L9:N9" si="0">SUMPRODUCT(L11:L34,U11:U34)</f>
        <v>5</v>
      </c>
      <c r="M9">
        <f t="shared" si="0"/>
        <v>6</v>
      </c>
      <c r="N9">
        <f t="shared" si="0"/>
        <v>5</v>
      </c>
      <c r="R9" t="s">
        <v>12</v>
      </c>
    </row>
    <row r="10" spans="1:30" x14ac:dyDescent="0.25">
      <c r="C10" t="s">
        <v>13</v>
      </c>
      <c r="D10" t="s">
        <v>14</v>
      </c>
      <c r="E10" t="s">
        <v>15</v>
      </c>
      <c r="F10" t="s">
        <v>16</v>
      </c>
      <c r="G10" s="6" t="s">
        <v>17</v>
      </c>
      <c r="K10" t="s">
        <v>13</v>
      </c>
      <c r="L10" t="s">
        <v>14</v>
      </c>
      <c r="M10" t="s">
        <v>15</v>
      </c>
      <c r="N10" t="s">
        <v>16</v>
      </c>
      <c r="O10" s="6" t="s">
        <v>17</v>
      </c>
      <c r="T10" t="s">
        <v>13</v>
      </c>
      <c r="U10" t="s">
        <v>14</v>
      </c>
      <c r="V10" t="s">
        <v>15</v>
      </c>
      <c r="W10" t="s">
        <v>16</v>
      </c>
      <c r="X10" s="6" t="s">
        <v>17</v>
      </c>
    </row>
    <row r="11" spans="1:30" x14ac:dyDescent="0.25">
      <c r="A11" t="s">
        <v>18</v>
      </c>
      <c r="B11" s="7">
        <v>0.33333333333333331</v>
      </c>
      <c r="C11" s="8">
        <v>2</v>
      </c>
      <c r="D11" s="8">
        <v>0</v>
      </c>
      <c r="E11" s="8">
        <v>8</v>
      </c>
      <c r="F11" s="8">
        <v>0</v>
      </c>
      <c r="G11" s="8">
        <v>0</v>
      </c>
      <c r="I11" t="s">
        <v>18</v>
      </c>
      <c r="J11" s="7">
        <v>0.33333333333333331</v>
      </c>
      <c r="K11" s="15">
        <v>1</v>
      </c>
      <c r="L11" s="15">
        <v>0</v>
      </c>
      <c r="M11" s="15">
        <v>0</v>
      </c>
      <c r="N11" s="15">
        <v>0</v>
      </c>
      <c r="O11" s="15">
        <v>0</v>
      </c>
      <c r="P11">
        <f>SUM(K11:O11)</f>
        <v>1</v>
      </c>
      <c r="Q11" s="9">
        <v>1</v>
      </c>
      <c r="R11" t="s">
        <v>18</v>
      </c>
      <c r="S11" s="7">
        <v>0.33333333333333331</v>
      </c>
      <c r="T11" s="10">
        <f t="shared" ref="T11:X34" si="1">IF(C11=0,99,C11)</f>
        <v>2</v>
      </c>
      <c r="U11" s="10">
        <f t="shared" si="1"/>
        <v>99</v>
      </c>
      <c r="V11" s="10">
        <f t="shared" si="1"/>
        <v>8</v>
      </c>
      <c r="W11" s="10">
        <f t="shared" si="1"/>
        <v>99</v>
      </c>
      <c r="X11" s="10">
        <f t="shared" si="1"/>
        <v>99</v>
      </c>
      <c r="Z11" t="s">
        <v>56</v>
      </c>
      <c r="AA11">
        <f>SUM(K11:O22)</f>
        <v>4</v>
      </c>
    </row>
    <row r="12" spans="1:30" x14ac:dyDescent="0.25">
      <c r="B12" s="7">
        <v>0.40625</v>
      </c>
      <c r="C12" s="8">
        <v>7</v>
      </c>
      <c r="D12" s="8">
        <v>0</v>
      </c>
      <c r="E12" s="8">
        <v>0</v>
      </c>
      <c r="F12" s="8">
        <v>0</v>
      </c>
      <c r="G12" s="8">
        <v>0</v>
      </c>
      <c r="J12" s="7">
        <v>0.40625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>
        <f t="shared" ref="P12:P34" si="2">SUM(K12:O12)</f>
        <v>0</v>
      </c>
      <c r="Q12" s="9">
        <v>1</v>
      </c>
      <c r="S12" s="7">
        <v>0.40625</v>
      </c>
      <c r="T12" s="10">
        <f t="shared" si="1"/>
        <v>7</v>
      </c>
      <c r="U12" s="10">
        <f t="shared" si="1"/>
        <v>99</v>
      </c>
      <c r="V12" s="10">
        <f t="shared" si="1"/>
        <v>99</v>
      </c>
      <c r="W12" s="10">
        <f t="shared" si="1"/>
        <v>99</v>
      </c>
      <c r="X12" s="10">
        <f t="shared" si="1"/>
        <v>99</v>
      </c>
      <c r="Z12" t="s">
        <v>57</v>
      </c>
      <c r="AA12">
        <f>SUM(K23:O34)</f>
        <v>6</v>
      </c>
      <c r="AD12">
        <v>1</v>
      </c>
    </row>
    <row r="13" spans="1:30" x14ac:dyDescent="0.25">
      <c r="B13" s="7">
        <v>0.47916666666666669</v>
      </c>
      <c r="C13" s="8">
        <v>9</v>
      </c>
      <c r="D13" s="8">
        <v>1</v>
      </c>
      <c r="E13" s="8">
        <v>0</v>
      </c>
      <c r="F13" s="8">
        <v>1</v>
      </c>
      <c r="G13" s="8">
        <v>1</v>
      </c>
      <c r="J13" s="7">
        <v>0.47916666666666669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>
        <f t="shared" si="2"/>
        <v>0</v>
      </c>
      <c r="Q13" s="9">
        <v>1</v>
      </c>
      <c r="S13" s="7">
        <v>0.47916666666666669</v>
      </c>
      <c r="T13" s="10">
        <f t="shared" si="1"/>
        <v>9</v>
      </c>
      <c r="U13" s="10">
        <f t="shared" si="1"/>
        <v>1</v>
      </c>
      <c r="V13" s="10">
        <f t="shared" si="1"/>
        <v>99</v>
      </c>
      <c r="W13" s="10">
        <f t="shared" si="1"/>
        <v>1</v>
      </c>
      <c r="X13" s="10">
        <f t="shared" si="1"/>
        <v>1</v>
      </c>
      <c r="Z13" t="s">
        <v>58</v>
      </c>
      <c r="AA13">
        <f>AA12-AD12</f>
        <v>5</v>
      </c>
    </row>
    <row r="14" spans="1:30" x14ac:dyDescent="0.25">
      <c r="B14" s="7">
        <v>0.55208333333333304</v>
      </c>
      <c r="C14" s="8">
        <v>0</v>
      </c>
      <c r="D14" s="8">
        <v>0</v>
      </c>
      <c r="E14" s="8">
        <v>2</v>
      </c>
      <c r="F14" s="8">
        <v>4</v>
      </c>
      <c r="G14" s="8">
        <v>1</v>
      </c>
      <c r="J14" s="7">
        <v>0.55208333333333304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>
        <f t="shared" si="2"/>
        <v>0</v>
      </c>
      <c r="Q14" s="9">
        <v>1</v>
      </c>
      <c r="S14" s="7">
        <v>0.55208333333333304</v>
      </c>
      <c r="T14" s="10">
        <f>IF(C14=0,99,C14)</f>
        <v>99</v>
      </c>
      <c r="U14" s="10">
        <f t="shared" si="1"/>
        <v>99</v>
      </c>
      <c r="V14" s="10">
        <f t="shared" si="1"/>
        <v>2</v>
      </c>
      <c r="W14" s="10">
        <f t="shared" si="1"/>
        <v>4</v>
      </c>
      <c r="X14" s="10">
        <f t="shared" si="1"/>
        <v>1</v>
      </c>
    </row>
    <row r="15" spans="1:30" x14ac:dyDescent="0.25">
      <c r="B15" s="7">
        <v>0.625</v>
      </c>
      <c r="C15" s="8">
        <v>1</v>
      </c>
      <c r="D15" s="8">
        <v>8</v>
      </c>
      <c r="E15" s="8">
        <v>0</v>
      </c>
      <c r="F15" s="8">
        <v>2</v>
      </c>
      <c r="G15" s="8">
        <v>1</v>
      </c>
      <c r="J15" s="7">
        <v>0.625</v>
      </c>
      <c r="K15" s="15">
        <v>0</v>
      </c>
      <c r="L15" s="15">
        <v>0</v>
      </c>
      <c r="M15" s="15">
        <v>0</v>
      </c>
      <c r="N15" s="15">
        <v>1</v>
      </c>
      <c r="O15" s="15">
        <v>0</v>
      </c>
      <c r="P15">
        <f t="shared" si="2"/>
        <v>1</v>
      </c>
      <c r="Q15" s="9">
        <v>1</v>
      </c>
      <c r="S15" s="7">
        <v>0.625</v>
      </c>
      <c r="T15" s="10">
        <f t="shared" ref="T15:T34" si="3">IF(C15=0,99,C15)</f>
        <v>1</v>
      </c>
      <c r="U15" s="10">
        <f t="shared" si="1"/>
        <v>8</v>
      </c>
      <c r="V15" s="10">
        <f t="shared" si="1"/>
        <v>99</v>
      </c>
      <c r="W15" s="10">
        <f t="shared" si="1"/>
        <v>2</v>
      </c>
      <c r="X15" s="10">
        <f t="shared" si="1"/>
        <v>1</v>
      </c>
    </row>
    <row r="16" spans="1:30" x14ac:dyDescent="0.25">
      <c r="B16" s="7">
        <v>0.69791666666666696</v>
      </c>
      <c r="C16" s="8">
        <v>8</v>
      </c>
      <c r="D16" s="8">
        <v>4</v>
      </c>
      <c r="E16" s="8">
        <v>1</v>
      </c>
      <c r="F16" s="8">
        <v>0</v>
      </c>
      <c r="G16" s="8">
        <v>0</v>
      </c>
      <c r="J16" s="7">
        <v>0.69791666666666696</v>
      </c>
      <c r="K16" s="15">
        <v>0</v>
      </c>
      <c r="L16" s="15">
        <v>0</v>
      </c>
      <c r="M16" s="15">
        <v>1</v>
      </c>
      <c r="N16" s="15">
        <v>0</v>
      </c>
      <c r="O16" s="15">
        <v>0</v>
      </c>
      <c r="P16">
        <f t="shared" si="2"/>
        <v>1</v>
      </c>
      <c r="Q16" s="9">
        <v>1</v>
      </c>
      <c r="S16" s="7">
        <v>0.69791666666666696</v>
      </c>
      <c r="T16" s="10">
        <f t="shared" si="3"/>
        <v>8</v>
      </c>
      <c r="U16" s="10">
        <f t="shared" si="1"/>
        <v>4</v>
      </c>
      <c r="V16" s="10">
        <f t="shared" si="1"/>
        <v>1</v>
      </c>
      <c r="W16" s="10">
        <f t="shared" si="1"/>
        <v>99</v>
      </c>
      <c r="X16" s="10">
        <f t="shared" si="1"/>
        <v>99</v>
      </c>
    </row>
    <row r="17" spans="1:31" x14ac:dyDescent="0.25">
      <c r="A17" t="s">
        <v>19</v>
      </c>
      <c r="B17" s="7">
        <v>0.33333333333333331</v>
      </c>
      <c r="C17" s="8">
        <v>0</v>
      </c>
      <c r="D17" s="8">
        <v>0</v>
      </c>
      <c r="E17" s="8">
        <v>0</v>
      </c>
      <c r="F17" s="8">
        <v>8</v>
      </c>
      <c r="G17" s="8">
        <v>0</v>
      </c>
      <c r="I17" t="s">
        <v>19</v>
      </c>
      <c r="J17" s="7">
        <v>0.33333333333333331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>
        <f t="shared" si="2"/>
        <v>0</v>
      </c>
      <c r="Q17" s="9">
        <v>1</v>
      </c>
      <c r="R17" t="s">
        <v>19</v>
      </c>
      <c r="S17" s="7">
        <v>0.33333333333333331</v>
      </c>
      <c r="T17" s="10">
        <f t="shared" si="3"/>
        <v>99</v>
      </c>
      <c r="U17" s="10">
        <f t="shared" si="1"/>
        <v>99</v>
      </c>
      <c r="V17" s="10">
        <f t="shared" si="1"/>
        <v>99</v>
      </c>
      <c r="W17" s="10">
        <f t="shared" si="1"/>
        <v>8</v>
      </c>
      <c r="X17" s="10">
        <f t="shared" si="1"/>
        <v>99</v>
      </c>
    </row>
    <row r="18" spans="1:31" x14ac:dyDescent="0.25">
      <c r="B18" s="7">
        <v>0.40625</v>
      </c>
      <c r="C18" s="8">
        <v>0</v>
      </c>
      <c r="D18" s="8">
        <v>5</v>
      </c>
      <c r="E18" s="8">
        <v>0</v>
      </c>
      <c r="F18" s="8">
        <v>9</v>
      </c>
      <c r="G18" s="8">
        <v>0</v>
      </c>
      <c r="J18" s="7">
        <v>0.40625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>
        <f t="shared" si="2"/>
        <v>0</v>
      </c>
      <c r="Q18" s="9">
        <v>1</v>
      </c>
      <c r="S18" s="7">
        <v>0.40625</v>
      </c>
      <c r="T18" s="10">
        <f t="shared" si="3"/>
        <v>99</v>
      </c>
      <c r="U18" s="10">
        <f t="shared" si="1"/>
        <v>5</v>
      </c>
      <c r="V18" s="10">
        <f t="shared" si="1"/>
        <v>99</v>
      </c>
      <c r="W18" s="10">
        <f t="shared" si="1"/>
        <v>9</v>
      </c>
      <c r="X18" s="10">
        <f t="shared" si="1"/>
        <v>99</v>
      </c>
    </row>
    <row r="19" spans="1:31" x14ac:dyDescent="0.25">
      <c r="B19" s="7">
        <v>0.47916666666666669</v>
      </c>
      <c r="C19" s="8">
        <v>6</v>
      </c>
      <c r="D19" s="8">
        <v>0</v>
      </c>
      <c r="E19" s="8">
        <v>3</v>
      </c>
      <c r="F19" s="8">
        <v>0</v>
      </c>
      <c r="G19" s="8">
        <v>1</v>
      </c>
      <c r="J19" s="7">
        <v>0.47916666666666669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>
        <f t="shared" si="2"/>
        <v>0</v>
      </c>
      <c r="Q19" s="9">
        <v>1</v>
      </c>
      <c r="S19" s="7">
        <v>0.47916666666666669</v>
      </c>
      <c r="T19" s="10">
        <f t="shared" si="3"/>
        <v>6</v>
      </c>
      <c r="U19" s="10">
        <f t="shared" si="1"/>
        <v>99</v>
      </c>
      <c r="V19" s="10">
        <f t="shared" si="1"/>
        <v>3</v>
      </c>
      <c r="W19" s="10">
        <f t="shared" si="1"/>
        <v>99</v>
      </c>
      <c r="X19" s="10">
        <f t="shared" si="1"/>
        <v>1</v>
      </c>
    </row>
    <row r="20" spans="1:31" x14ac:dyDescent="0.25">
      <c r="B20" s="7">
        <v>0.55208333333333304</v>
      </c>
      <c r="C20" s="8">
        <v>0</v>
      </c>
      <c r="D20" s="8">
        <v>0</v>
      </c>
      <c r="E20" s="8">
        <v>0</v>
      </c>
      <c r="F20" s="8">
        <v>0</v>
      </c>
      <c r="G20" s="8">
        <v>1</v>
      </c>
      <c r="J20" s="7">
        <v>0.55208333333333304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>
        <f t="shared" si="2"/>
        <v>0</v>
      </c>
      <c r="Q20" s="9">
        <v>1</v>
      </c>
      <c r="S20" s="7">
        <v>0.55208333333333304</v>
      </c>
      <c r="T20" s="10">
        <f t="shared" si="3"/>
        <v>99</v>
      </c>
      <c r="U20" s="10">
        <f t="shared" si="1"/>
        <v>99</v>
      </c>
      <c r="V20" s="10">
        <f t="shared" si="1"/>
        <v>99</v>
      </c>
      <c r="W20" s="10">
        <f t="shared" si="1"/>
        <v>99</v>
      </c>
      <c r="X20" s="10">
        <f t="shared" si="1"/>
        <v>1</v>
      </c>
    </row>
    <row r="21" spans="1:31" x14ac:dyDescent="0.25">
      <c r="B21" s="7">
        <v>0.625</v>
      </c>
      <c r="C21" s="8">
        <v>3</v>
      </c>
      <c r="D21" s="8">
        <v>3</v>
      </c>
      <c r="E21" s="8">
        <v>0</v>
      </c>
      <c r="F21" s="8">
        <v>6</v>
      </c>
      <c r="G21" s="8">
        <v>1</v>
      </c>
      <c r="J21" s="7">
        <v>0.625</v>
      </c>
      <c r="K21" s="15">
        <v>0</v>
      </c>
      <c r="L21" s="15">
        <v>1</v>
      </c>
      <c r="M21" s="15">
        <v>0</v>
      </c>
      <c r="N21" s="15">
        <v>0</v>
      </c>
      <c r="O21" s="15">
        <v>0</v>
      </c>
      <c r="P21">
        <f t="shared" si="2"/>
        <v>1</v>
      </c>
      <c r="Q21" s="9">
        <v>1</v>
      </c>
      <c r="S21" s="7">
        <v>0.625</v>
      </c>
      <c r="T21" s="10">
        <f t="shared" si="3"/>
        <v>3</v>
      </c>
      <c r="U21" s="10">
        <f t="shared" si="1"/>
        <v>3</v>
      </c>
      <c r="V21" s="10">
        <f t="shared" si="1"/>
        <v>99</v>
      </c>
      <c r="W21" s="10">
        <f t="shared" si="1"/>
        <v>6</v>
      </c>
      <c r="X21" s="10">
        <f t="shared" si="1"/>
        <v>1</v>
      </c>
    </row>
    <row r="22" spans="1:31" x14ac:dyDescent="0.25">
      <c r="B22" s="7">
        <v>0.69791666666666696</v>
      </c>
      <c r="C22" s="8">
        <v>0</v>
      </c>
      <c r="D22" s="8">
        <v>0</v>
      </c>
      <c r="E22" s="8">
        <v>4</v>
      </c>
      <c r="F22" s="8">
        <v>0</v>
      </c>
      <c r="G22" s="8">
        <v>0</v>
      </c>
      <c r="J22" s="7">
        <v>0.69791666666666696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>
        <f t="shared" si="2"/>
        <v>0</v>
      </c>
      <c r="Q22" s="9">
        <v>1</v>
      </c>
      <c r="S22" s="7">
        <v>0.69791666666666696</v>
      </c>
      <c r="T22" s="10">
        <f t="shared" si="3"/>
        <v>99</v>
      </c>
      <c r="U22" s="10">
        <f t="shared" si="1"/>
        <v>99</v>
      </c>
      <c r="V22" s="10">
        <f t="shared" si="1"/>
        <v>4</v>
      </c>
      <c r="W22" s="10">
        <f t="shared" si="1"/>
        <v>99</v>
      </c>
      <c r="X22" s="10">
        <f t="shared" si="1"/>
        <v>99</v>
      </c>
    </row>
    <row r="23" spans="1:31" x14ac:dyDescent="0.25">
      <c r="A23" t="s">
        <v>20</v>
      </c>
      <c r="B23" s="7">
        <v>0.33333333333333331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I23" t="s">
        <v>20</v>
      </c>
      <c r="J23" s="7">
        <v>0.33333333333333331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>
        <f t="shared" si="2"/>
        <v>0</v>
      </c>
      <c r="Q23" s="9">
        <v>1</v>
      </c>
      <c r="R23" t="s">
        <v>20</v>
      </c>
      <c r="S23" s="7">
        <v>0.33333333333333331</v>
      </c>
      <c r="T23" s="10">
        <f t="shared" si="3"/>
        <v>99</v>
      </c>
      <c r="U23" s="10">
        <f t="shared" si="1"/>
        <v>99</v>
      </c>
      <c r="V23" s="10">
        <f t="shared" si="1"/>
        <v>99</v>
      </c>
      <c r="W23" s="10">
        <f t="shared" si="1"/>
        <v>99</v>
      </c>
      <c r="X23" s="10">
        <f t="shared" si="1"/>
        <v>99</v>
      </c>
    </row>
    <row r="24" spans="1:31" x14ac:dyDescent="0.25">
      <c r="B24" s="7">
        <v>0.40625</v>
      </c>
      <c r="C24" s="8">
        <v>0</v>
      </c>
      <c r="D24" s="8">
        <v>0</v>
      </c>
      <c r="E24" s="8">
        <v>5</v>
      </c>
      <c r="F24" s="8">
        <v>0</v>
      </c>
      <c r="G24" s="8">
        <v>0</v>
      </c>
      <c r="J24" s="7">
        <v>0.40625</v>
      </c>
      <c r="K24" s="15">
        <v>0</v>
      </c>
      <c r="L24" s="15">
        <v>0</v>
      </c>
      <c r="M24" s="15">
        <v>1</v>
      </c>
      <c r="N24" s="15">
        <v>0</v>
      </c>
      <c r="O24" s="15">
        <v>0</v>
      </c>
      <c r="P24">
        <f t="shared" si="2"/>
        <v>1</v>
      </c>
      <c r="Q24" s="9">
        <v>1</v>
      </c>
      <c r="S24" s="7">
        <v>0.40625</v>
      </c>
      <c r="T24" s="10">
        <f t="shared" si="3"/>
        <v>99</v>
      </c>
      <c r="U24" s="10">
        <f t="shared" si="1"/>
        <v>99</v>
      </c>
      <c r="V24" s="10">
        <f t="shared" si="1"/>
        <v>5</v>
      </c>
      <c r="W24" s="10">
        <f t="shared" si="1"/>
        <v>99</v>
      </c>
      <c r="X24" s="10">
        <f t="shared" si="1"/>
        <v>99</v>
      </c>
    </row>
    <row r="25" spans="1:31" x14ac:dyDescent="0.25">
      <c r="B25" s="7">
        <v>0.47916666666666669</v>
      </c>
      <c r="C25" s="8">
        <v>0</v>
      </c>
      <c r="D25" s="8">
        <v>0</v>
      </c>
      <c r="E25" s="8">
        <v>0</v>
      </c>
      <c r="F25" s="8">
        <v>0</v>
      </c>
      <c r="G25" s="8">
        <v>1</v>
      </c>
      <c r="J25" s="7">
        <v>0.47916666666666669</v>
      </c>
      <c r="K25" s="15">
        <v>0</v>
      </c>
      <c r="L25" s="15">
        <v>0</v>
      </c>
      <c r="M25" s="15">
        <v>0</v>
      </c>
      <c r="N25" s="15">
        <v>0</v>
      </c>
      <c r="O25" s="15">
        <v>1</v>
      </c>
      <c r="P25">
        <f t="shared" si="2"/>
        <v>1</v>
      </c>
      <c r="Q25" s="9">
        <v>1</v>
      </c>
      <c r="S25" s="7">
        <v>0.47916666666666669</v>
      </c>
      <c r="T25" s="10">
        <f t="shared" si="3"/>
        <v>99</v>
      </c>
      <c r="U25" s="10">
        <f t="shared" si="1"/>
        <v>99</v>
      </c>
      <c r="V25" s="10">
        <f t="shared" si="1"/>
        <v>99</v>
      </c>
      <c r="W25" s="10">
        <f t="shared" si="1"/>
        <v>99</v>
      </c>
      <c r="X25" s="10">
        <f t="shared" si="1"/>
        <v>1</v>
      </c>
      <c r="AB25">
        <v>6</v>
      </c>
      <c r="AC25">
        <v>6</v>
      </c>
      <c r="AD25">
        <v>6</v>
      </c>
      <c r="AE25">
        <v>6</v>
      </c>
    </row>
    <row r="26" spans="1:31" x14ac:dyDescent="0.25">
      <c r="B26" s="7">
        <v>0.55208333333333304</v>
      </c>
      <c r="C26" s="8">
        <v>0</v>
      </c>
      <c r="D26" s="8">
        <v>6</v>
      </c>
      <c r="E26" s="8">
        <v>9</v>
      </c>
      <c r="F26" s="8">
        <v>0</v>
      </c>
      <c r="G26" s="8">
        <v>1</v>
      </c>
      <c r="J26" s="7">
        <v>0.55208333333333304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>
        <f t="shared" si="2"/>
        <v>0</v>
      </c>
      <c r="Q26" s="9">
        <v>1</v>
      </c>
      <c r="S26" s="7">
        <v>0.55208333333333304</v>
      </c>
      <c r="T26" s="10">
        <f t="shared" si="3"/>
        <v>99</v>
      </c>
      <c r="U26" s="10">
        <f t="shared" si="1"/>
        <v>6</v>
      </c>
      <c r="V26" s="10">
        <f t="shared" si="1"/>
        <v>9</v>
      </c>
      <c r="W26" s="10">
        <f t="shared" si="1"/>
        <v>99</v>
      </c>
      <c r="X26" s="10">
        <f t="shared" si="1"/>
        <v>1</v>
      </c>
    </row>
    <row r="27" spans="1:31" x14ac:dyDescent="0.25">
      <c r="B27" s="7">
        <v>0.625</v>
      </c>
      <c r="C27" s="8">
        <v>0</v>
      </c>
      <c r="D27" s="8">
        <v>0</v>
      </c>
      <c r="E27" s="8">
        <v>0</v>
      </c>
      <c r="F27" s="8">
        <v>7</v>
      </c>
      <c r="G27" s="8">
        <v>1</v>
      </c>
      <c r="J27" s="7">
        <v>0.625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>
        <f t="shared" si="2"/>
        <v>0</v>
      </c>
      <c r="Q27" s="9">
        <v>1</v>
      </c>
      <c r="S27" s="7">
        <v>0.625</v>
      </c>
      <c r="T27" s="10">
        <f t="shared" si="3"/>
        <v>99</v>
      </c>
      <c r="U27" s="10">
        <f t="shared" si="1"/>
        <v>99</v>
      </c>
      <c r="V27" s="10">
        <f t="shared" si="1"/>
        <v>99</v>
      </c>
      <c r="W27" s="10">
        <f t="shared" si="1"/>
        <v>7</v>
      </c>
      <c r="X27" s="10">
        <f t="shared" si="1"/>
        <v>1</v>
      </c>
    </row>
    <row r="28" spans="1:31" x14ac:dyDescent="0.25">
      <c r="B28" s="7">
        <v>0.69791666666666696</v>
      </c>
      <c r="C28" s="8">
        <v>10</v>
      </c>
      <c r="D28" s="8">
        <v>2</v>
      </c>
      <c r="E28" s="8">
        <v>6</v>
      </c>
      <c r="F28" s="8">
        <v>10</v>
      </c>
      <c r="G28" s="8">
        <v>0</v>
      </c>
      <c r="J28" s="7">
        <v>0.69791666666666696</v>
      </c>
      <c r="K28" s="15">
        <v>0</v>
      </c>
      <c r="L28" s="15">
        <v>1</v>
      </c>
      <c r="M28" s="15">
        <v>0</v>
      </c>
      <c r="N28" s="15">
        <v>0</v>
      </c>
      <c r="O28" s="15">
        <v>0</v>
      </c>
      <c r="P28">
        <f t="shared" si="2"/>
        <v>1</v>
      </c>
      <c r="Q28" s="9">
        <v>1</v>
      </c>
      <c r="S28" s="7">
        <v>0.69791666666666696</v>
      </c>
      <c r="T28" s="10">
        <f t="shared" si="3"/>
        <v>10</v>
      </c>
      <c r="U28" s="10">
        <f t="shared" si="1"/>
        <v>2</v>
      </c>
      <c r="V28" s="10">
        <f t="shared" si="1"/>
        <v>6</v>
      </c>
      <c r="W28" s="10">
        <f t="shared" si="1"/>
        <v>10</v>
      </c>
      <c r="X28" s="10">
        <f t="shared" si="1"/>
        <v>99</v>
      </c>
    </row>
    <row r="29" spans="1:31" x14ac:dyDescent="0.25">
      <c r="A29" t="s">
        <v>21</v>
      </c>
      <c r="B29" s="7">
        <v>0.33333333333333331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I29" t="s">
        <v>21</v>
      </c>
      <c r="J29" s="7">
        <v>0.33333333333333331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>
        <f t="shared" si="2"/>
        <v>0</v>
      </c>
      <c r="Q29" s="9">
        <v>1</v>
      </c>
      <c r="R29" t="s">
        <v>21</v>
      </c>
      <c r="S29" s="7">
        <v>0.33333333333333331</v>
      </c>
      <c r="T29" s="10">
        <f t="shared" si="3"/>
        <v>99</v>
      </c>
      <c r="U29" s="10">
        <f t="shared" si="1"/>
        <v>99</v>
      </c>
      <c r="V29" s="10">
        <f t="shared" si="1"/>
        <v>99</v>
      </c>
      <c r="W29" s="10">
        <f t="shared" si="1"/>
        <v>99</v>
      </c>
      <c r="X29" s="10">
        <f t="shared" si="1"/>
        <v>99</v>
      </c>
    </row>
    <row r="30" spans="1:31" x14ac:dyDescent="0.25">
      <c r="B30" s="7">
        <v>0.40625</v>
      </c>
      <c r="C30" s="8">
        <v>0</v>
      </c>
      <c r="D30" s="8">
        <v>7</v>
      </c>
      <c r="E30" s="8">
        <v>0</v>
      </c>
      <c r="F30" s="8">
        <v>5</v>
      </c>
      <c r="G30" s="8">
        <v>0</v>
      </c>
      <c r="J30" s="7">
        <v>0.40625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>
        <f t="shared" si="2"/>
        <v>0</v>
      </c>
      <c r="Q30" s="9">
        <v>1</v>
      </c>
      <c r="S30" s="7">
        <v>0.40625</v>
      </c>
      <c r="T30" s="10">
        <f t="shared" si="3"/>
        <v>99</v>
      </c>
      <c r="U30" s="10">
        <f t="shared" si="1"/>
        <v>7</v>
      </c>
      <c r="V30" s="10">
        <f t="shared" si="1"/>
        <v>99</v>
      </c>
      <c r="W30" s="10">
        <f t="shared" si="1"/>
        <v>5</v>
      </c>
      <c r="X30" s="10">
        <f t="shared" si="1"/>
        <v>99</v>
      </c>
    </row>
    <row r="31" spans="1:31" x14ac:dyDescent="0.25">
      <c r="B31" s="7">
        <v>0.47916666666666669</v>
      </c>
      <c r="C31" s="8">
        <v>4</v>
      </c>
      <c r="D31" s="8">
        <v>0</v>
      </c>
      <c r="E31" s="8">
        <v>10</v>
      </c>
      <c r="F31" s="8">
        <v>0</v>
      </c>
      <c r="G31" s="8">
        <v>1</v>
      </c>
      <c r="J31" s="7">
        <v>0.47916666666666669</v>
      </c>
      <c r="K31" s="15">
        <v>1</v>
      </c>
      <c r="L31" s="15">
        <v>0</v>
      </c>
      <c r="M31" s="15">
        <v>0</v>
      </c>
      <c r="N31" s="15">
        <v>0</v>
      </c>
      <c r="O31" s="15">
        <v>0</v>
      </c>
      <c r="P31">
        <f t="shared" si="2"/>
        <v>1</v>
      </c>
      <c r="Q31" s="9">
        <v>1</v>
      </c>
      <c r="S31" s="7">
        <v>0.47916666666666669</v>
      </c>
      <c r="T31" s="10">
        <f t="shared" si="3"/>
        <v>4</v>
      </c>
      <c r="U31" s="10">
        <f t="shared" si="1"/>
        <v>99</v>
      </c>
      <c r="V31" s="10">
        <f t="shared" si="1"/>
        <v>10</v>
      </c>
      <c r="W31" s="10">
        <f t="shared" si="1"/>
        <v>99</v>
      </c>
      <c r="X31" s="10">
        <f t="shared" si="1"/>
        <v>1</v>
      </c>
    </row>
    <row r="32" spans="1:31" x14ac:dyDescent="0.25">
      <c r="B32" s="7">
        <v>0.55208333333333304</v>
      </c>
      <c r="C32" s="8">
        <v>0</v>
      </c>
      <c r="D32" s="8">
        <v>0</v>
      </c>
      <c r="E32" s="8">
        <v>0</v>
      </c>
      <c r="F32" s="8">
        <v>0</v>
      </c>
      <c r="G32" s="8">
        <v>1</v>
      </c>
      <c r="J32" s="7">
        <v>0.55208333333333304</v>
      </c>
      <c r="K32" s="15">
        <v>0</v>
      </c>
      <c r="L32" s="15">
        <v>0</v>
      </c>
      <c r="M32" s="15">
        <v>0</v>
      </c>
      <c r="N32" s="15">
        <v>0</v>
      </c>
      <c r="O32" s="15">
        <v>1</v>
      </c>
      <c r="P32">
        <f t="shared" si="2"/>
        <v>1</v>
      </c>
      <c r="Q32" s="9">
        <v>1</v>
      </c>
      <c r="S32" s="7">
        <v>0.55208333333333304</v>
      </c>
      <c r="T32" s="10">
        <f t="shared" si="3"/>
        <v>99</v>
      </c>
      <c r="U32" s="10">
        <f t="shared" si="1"/>
        <v>99</v>
      </c>
      <c r="V32" s="10">
        <f t="shared" si="1"/>
        <v>99</v>
      </c>
      <c r="W32" s="10">
        <f t="shared" si="1"/>
        <v>99</v>
      </c>
      <c r="X32" s="10">
        <f t="shared" si="1"/>
        <v>1</v>
      </c>
    </row>
    <row r="33" spans="1:33" x14ac:dyDescent="0.25">
      <c r="B33" s="7">
        <v>0.625</v>
      </c>
      <c r="C33" s="8">
        <v>5</v>
      </c>
      <c r="D33" s="8">
        <v>10</v>
      </c>
      <c r="E33" s="8">
        <v>0</v>
      </c>
      <c r="F33" s="8">
        <v>3</v>
      </c>
      <c r="G33" s="8">
        <v>1</v>
      </c>
      <c r="J33" s="7">
        <v>0.625</v>
      </c>
      <c r="K33" s="15">
        <v>0</v>
      </c>
      <c r="L33" s="15">
        <v>0</v>
      </c>
      <c r="M33" s="15">
        <v>0</v>
      </c>
      <c r="N33" s="15">
        <v>1</v>
      </c>
      <c r="O33" s="15">
        <v>0</v>
      </c>
      <c r="P33">
        <f t="shared" si="2"/>
        <v>1</v>
      </c>
      <c r="Q33" s="9">
        <v>1</v>
      </c>
      <c r="S33" s="7">
        <v>0.625</v>
      </c>
      <c r="T33" s="10">
        <f t="shared" si="3"/>
        <v>5</v>
      </c>
      <c r="U33" s="10">
        <f t="shared" si="1"/>
        <v>10</v>
      </c>
      <c r="V33" s="10">
        <f t="shared" si="1"/>
        <v>99</v>
      </c>
      <c r="W33" s="10">
        <f t="shared" si="1"/>
        <v>3</v>
      </c>
      <c r="X33" s="10">
        <f t="shared" si="1"/>
        <v>1</v>
      </c>
    </row>
    <row r="34" spans="1:33" x14ac:dyDescent="0.25">
      <c r="B34" s="7">
        <v>0.69791666666666696</v>
      </c>
      <c r="C34" s="8">
        <v>0</v>
      </c>
      <c r="D34" s="8">
        <v>9</v>
      </c>
      <c r="E34" s="8">
        <v>7</v>
      </c>
      <c r="F34" s="8">
        <v>0</v>
      </c>
      <c r="G34" s="8">
        <v>0</v>
      </c>
      <c r="J34" s="7">
        <v>0.69791666666666696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>
        <f t="shared" si="2"/>
        <v>0</v>
      </c>
      <c r="Q34" s="9">
        <v>1</v>
      </c>
      <c r="S34" s="7">
        <v>0.69791666666666696</v>
      </c>
      <c r="T34" s="10">
        <f t="shared" si="3"/>
        <v>99</v>
      </c>
      <c r="U34" s="10">
        <f t="shared" si="1"/>
        <v>9</v>
      </c>
      <c r="V34" s="10">
        <f t="shared" si="1"/>
        <v>7</v>
      </c>
      <c r="W34" s="10">
        <f t="shared" si="1"/>
        <v>99</v>
      </c>
      <c r="X34" s="10">
        <f t="shared" si="1"/>
        <v>99</v>
      </c>
    </row>
    <row r="35" spans="1:33" x14ac:dyDescent="0.25">
      <c r="K35">
        <f>SUM(K11:K34)</f>
        <v>2</v>
      </c>
      <c r="L35">
        <f t="shared" ref="L35:O35" si="4">SUM(L11:L34)</f>
        <v>2</v>
      </c>
      <c r="M35">
        <f t="shared" si="4"/>
        <v>2</v>
      </c>
      <c r="N35">
        <f t="shared" si="4"/>
        <v>2</v>
      </c>
      <c r="O35">
        <f t="shared" si="4"/>
        <v>2</v>
      </c>
      <c r="P35" t="s">
        <v>22</v>
      </c>
      <c r="Q35" s="11">
        <f>SUMPRODUCT(K11:N34,T11:W34)</f>
        <v>22</v>
      </c>
    </row>
    <row r="36" spans="1:33" x14ac:dyDescent="0.25">
      <c r="K36" t="s">
        <v>23</v>
      </c>
      <c r="L36" t="s">
        <v>23</v>
      </c>
      <c r="M36" t="s">
        <v>23</v>
      </c>
      <c r="N36" t="s">
        <v>23</v>
      </c>
      <c r="O36" t="s">
        <v>23</v>
      </c>
    </row>
    <row r="37" spans="1:33" x14ac:dyDescent="0.25">
      <c r="B37" s="12" t="s">
        <v>24</v>
      </c>
      <c r="K37">
        <v>2</v>
      </c>
      <c r="L37">
        <v>2</v>
      </c>
      <c r="M37">
        <v>2</v>
      </c>
      <c r="N37">
        <v>2</v>
      </c>
      <c r="O37">
        <v>2</v>
      </c>
    </row>
    <row r="38" spans="1:33" x14ac:dyDescent="0.25">
      <c r="C38" t="s">
        <v>25</v>
      </c>
      <c r="D38" t="s">
        <v>26</v>
      </c>
      <c r="E38" t="s">
        <v>27</v>
      </c>
      <c r="F38" t="s">
        <v>28</v>
      </c>
      <c r="G38" t="s">
        <v>29</v>
      </c>
      <c r="H38" t="s">
        <v>30</v>
      </c>
      <c r="I38" t="s">
        <v>31</v>
      </c>
      <c r="J38" t="s">
        <v>32</v>
      </c>
      <c r="K38" t="s">
        <v>33</v>
      </c>
      <c r="L38" t="s">
        <v>34</v>
      </c>
      <c r="M38" t="s">
        <v>35</v>
      </c>
      <c r="N38" t="s">
        <v>36</v>
      </c>
      <c r="O38" t="s">
        <v>37</v>
      </c>
      <c r="P38" t="s">
        <v>38</v>
      </c>
      <c r="Q38" t="s">
        <v>39</v>
      </c>
      <c r="R38" t="s">
        <v>40</v>
      </c>
      <c r="S38" t="s">
        <v>41</v>
      </c>
      <c r="T38" t="s">
        <v>42</v>
      </c>
      <c r="U38" t="s">
        <v>43</v>
      </c>
      <c r="V38" t="s">
        <v>44</v>
      </c>
      <c r="W38" t="s">
        <v>45</v>
      </c>
      <c r="X38" t="s">
        <v>46</v>
      </c>
      <c r="Y38" t="s">
        <v>47</v>
      </c>
      <c r="Z38" t="s">
        <v>48</v>
      </c>
      <c r="AA38" t="s">
        <v>49</v>
      </c>
      <c r="AB38" t="s">
        <v>50</v>
      </c>
      <c r="AC38" t="s">
        <v>51</v>
      </c>
      <c r="AD38" t="s">
        <v>52</v>
      </c>
      <c r="AE38" t="s">
        <v>53</v>
      </c>
      <c r="AF38" t="s">
        <v>54</v>
      </c>
    </row>
    <row r="39" spans="1:33" x14ac:dyDescent="0.25">
      <c r="A39" t="s">
        <v>18</v>
      </c>
      <c r="B39" s="7">
        <v>0.33333333333333331</v>
      </c>
      <c r="C39" s="8">
        <v>1</v>
      </c>
      <c r="D39" s="8">
        <v>0</v>
      </c>
      <c r="E39" s="8">
        <v>0</v>
      </c>
      <c r="F39" s="8">
        <v>1</v>
      </c>
      <c r="G39" s="8">
        <v>0</v>
      </c>
      <c r="H39" s="8">
        <v>0</v>
      </c>
      <c r="I39" s="8">
        <v>0</v>
      </c>
      <c r="J39" s="8">
        <v>0</v>
      </c>
      <c r="K39" s="8">
        <v>1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1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1</v>
      </c>
      <c r="AG39">
        <f>SUM(C39:AF39)</f>
        <v>5</v>
      </c>
    </row>
    <row r="40" spans="1:33" x14ac:dyDescent="0.25">
      <c r="B40" s="7">
        <v>0.40625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1</v>
      </c>
      <c r="J40" s="8">
        <v>1</v>
      </c>
      <c r="K40" s="8">
        <v>1</v>
      </c>
      <c r="L40" s="8">
        <v>1</v>
      </c>
      <c r="M40" s="8">
        <v>0</v>
      </c>
      <c r="N40" s="8">
        <v>0</v>
      </c>
      <c r="O40" s="8">
        <v>1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1</v>
      </c>
      <c r="Y40" s="8">
        <v>1</v>
      </c>
      <c r="Z40" s="8">
        <v>0</v>
      </c>
      <c r="AA40" s="8">
        <v>0</v>
      </c>
      <c r="AB40" s="8">
        <v>0</v>
      </c>
      <c r="AC40" s="8">
        <v>1</v>
      </c>
      <c r="AD40" s="8">
        <v>0</v>
      </c>
      <c r="AE40" s="8">
        <v>0</v>
      </c>
      <c r="AF40" s="8">
        <v>1</v>
      </c>
      <c r="AG40">
        <f t="shared" ref="AG40:AG62" si="5">SUM(C40:AF40)</f>
        <v>9</v>
      </c>
    </row>
    <row r="41" spans="1:33" x14ac:dyDescent="0.25">
      <c r="B41" s="7">
        <v>0.47916666666666669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1</v>
      </c>
      <c r="Q41" s="8">
        <v>0</v>
      </c>
      <c r="R41" s="8">
        <v>1</v>
      </c>
      <c r="S41" s="8">
        <v>0</v>
      </c>
      <c r="T41" s="8">
        <v>0</v>
      </c>
      <c r="U41" s="8">
        <v>1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>
        <f t="shared" si="5"/>
        <v>3</v>
      </c>
    </row>
    <row r="42" spans="1:33" x14ac:dyDescent="0.25">
      <c r="B42" s="7">
        <v>0.55208333333333304</v>
      </c>
      <c r="C42" s="8">
        <v>0</v>
      </c>
      <c r="D42" s="8">
        <v>1</v>
      </c>
      <c r="E42" s="8">
        <v>1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1</v>
      </c>
      <c r="P42" s="8">
        <v>0</v>
      </c>
      <c r="Q42" s="8">
        <v>0</v>
      </c>
      <c r="R42" s="8">
        <v>1</v>
      </c>
      <c r="S42" s="8">
        <v>0</v>
      </c>
      <c r="T42" s="8">
        <v>0</v>
      </c>
      <c r="U42" s="8">
        <v>0</v>
      </c>
      <c r="V42" s="8">
        <v>1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1</v>
      </c>
      <c r="AE42" s="8">
        <v>1</v>
      </c>
      <c r="AF42" s="8">
        <v>1</v>
      </c>
      <c r="AG42">
        <f t="shared" si="5"/>
        <v>8</v>
      </c>
    </row>
    <row r="43" spans="1:33" x14ac:dyDescent="0.25">
      <c r="B43" s="7">
        <v>0.625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1</v>
      </c>
      <c r="J43" s="8">
        <v>0</v>
      </c>
      <c r="K43" s="8">
        <v>0</v>
      </c>
      <c r="L43" s="8">
        <v>1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1</v>
      </c>
      <c r="Y43" s="8">
        <v>0</v>
      </c>
      <c r="Z43" s="8">
        <v>0</v>
      </c>
      <c r="AA43" s="8">
        <v>1</v>
      </c>
      <c r="AB43" s="8">
        <v>1</v>
      </c>
      <c r="AC43" s="8">
        <v>0</v>
      </c>
      <c r="AD43" s="8">
        <v>1</v>
      </c>
      <c r="AE43" s="8">
        <v>0</v>
      </c>
      <c r="AF43" s="8">
        <v>0</v>
      </c>
      <c r="AG43">
        <f t="shared" si="5"/>
        <v>6</v>
      </c>
    </row>
    <row r="44" spans="1:33" x14ac:dyDescent="0.25">
      <c r="B44" s="7">
        <v>0.69791666666666696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1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1</v>
      </c>
      <c r="W44" s="8">
        <v>1</v>
      </c>
      <c r="X44" s="8">
        <v>0</v>
      </c>
      <c r="Y44" s="8">
        <v>0</v>
      </c>
      <c r="Z44" s="8">
        <v>1</v>
      </c>
      <c r="AA44" s="8">
        <v>0</v>
      </c>
      <c r="AB44" s="8">
        <v>1</v>
      </c>
      <c r="AC44" s="8">
        <v>0</v>
      </c>
      <c r="AD44" s="8">
        <v>1</v>
      </c>
      <c r="AE44" s="8">
        <v>0</v>
      </c>
      <c r="AF44" s="8">
        <v>0</v>
      </c>
      <c r="AG44">
        <f t="shared" si="5"/>
        <v>6</v>
      </c>
    </row>
    <row r="45" spans="1:33" x14ac:dyDescent="0.25">
      <c r="A45" t="s">
        <v>19</v>
      </c>
      <c r="B45" s="7">
        <v>0.33333333333333331</v>
      </c>
      <c r="C45" s="8">
        <v>0</v>
      </c>
      <c r="D45" s="8">
        <v>1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1</v>
      </c>
      <c r="K45" s="8">
        <v>1</v>
      </c>
      <c r="L45" s="8">
        <v>0</v>
      </c>
      <c r="M45" s="8">
        <v>0</v>
      </c>
      <c r="N45" s="8">
        <v>0</v>
      </c>
      <c r="O45" s="8">
        <v>0</v>
      </c>
      <c r="P45" s="8">
        <v>1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1</v>
      </c>
      <c r="Y45" s="8">
        <v>1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>
        <f t="shared" si="5"/>
        <v>6</v>
      </c>
    </row>
    <row r="46" spans="1:33" x14ac:dyDescent="0.25">
      <c r="B46" s="7">
        <v>0.40625</v>
      </c>
      <c r="C46" s="8">
        <v>0</v>
      </c>
      <c r="D46" s="8">
        <v>0</v>
      </c>
      <c r="E46" s="8">
        <v>0</v>
      </c>
      <c r="F46" s="8">
        <v>1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1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1</v>
      </c>
      <c r="AC46" s="8">
        <v>0</v>
      </c>
      <c r="AD46" s="8">
        <v>0</v>
      </c>
      <c r="AE46" s="8">
        <v>0</v>
      </c>
      <c r="AF46" s="8">
        <v>0</v>
      </c>
      <c r="AG46">
        <f t="shared" si="5"/>
        <v>3</v>
      </c>
    </row>
    <row r="47" spans="1:33" x14ac:dyDescent="0.25">
      <c r="B47" s="7">
        <v>0.47916666666666669</v>
      </c>
      <c r="C47" s="8">
        <v>0</v>
      </c>
      <c r="D47" s="8">
        <v>0</v>
      </c>
      <c r="E47" s="8">
        <v>0</v>
      </c>
      <c r="F47" s="8">
        <v>0</v>
      </c>
      <c r="G47" s="8">
        <v>1</v>
      </c>
      <c r="H47" s="8">
        <v>0</v>
      </c>
      <c r="I47" s="8">
        <v>0</v>
      </c>
      <c r="J47" s="8">
        <v>0</v>
      </c>
      <c r="K47" s="8">
        <v>0</v>
      </c>
      <c r="L47" s="8">
        <v>1</v>
      </c>
      <c r="M47" s="8">
        <v>0</v>
      </c>
      <c r="N47" s="8">
        <v>1</v>
      </c>
      <c r="O47" s="8">
        <v>1</v>
      </c>
      <c r="P47" s="8">
        <v>1</v>
      </c>
      <c r="Q47" s="8">
        <v>0</v>
      </c>
      <c r="R47" s="8">
        <v>0</v>
      </c>
      <c r="S47" s="8">
        <v>0</v>
      </c>
      <c r="T47" s="8">
        <v>1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1</v>
      </c>
      <c r="AB47" s="8">
        <v>0</v>
      </c>
      <c r="AC47" s="8">
        <v>1</v>
      </c>
      <c r="AD47" s="8">
        <v>0</v>
      </c>
      <c r="AE47" s="8">
        <v>0</v>
      </c>
      <c r="AF47" s="8">
        <v>0</v>
      </c>
      <c r="AG47">
        <f t="shared" si="5"/>
        <v>8</v>
      </c>
    </row>
    <row r="48" spans="1:33" x14ac:dyDescent="0.25">
      <c r="B48" s="7">
        <v>0.55208333333333304</v>
      </c>
      <c r="C48" s="8">
        <v>1</v>
      </c>
      <c r="D48" s="8">
        <v>1</v>
      </c>
      <c r="E48" s="8">
        <v>1</v>
      </c>
      <c r="F48" s="8">
        <v>0</v>
      </c>
      <c r="G48" s="8">
        <v>0</v>
      </c>
      <c r="H48" s="8">
        <v>1</v>
      </c>
      <c r="I48" s="8">
        <v>1</v>
      </c>
      <c r="J48" s="8">
        <v>0</v>
      </c>
      <c r="K48" s="8">
        <v>0</v>
      </c>
      <c r="L48" s="8">
        <v>1</v>
      </c>
      <c r="M48" s="8">
        <v>1</v>
      </c>
      <c r="N48" s="8">
        <v>0</v>
      </c>
      <c r="O48" s="8">
        <v>0</v>
      </c>
      <c r="P48" s="8">
        <v>0</v>
      </c>
      <c r="Q48" s="8">
        <v>0</v>
      </c>
      <c r="R48" s="8">
        <v>1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1</v>
      </c>
      <c r="AB48" s="8">
        <v>0</v>
      </c>
      <c r="AC48" s="8">
        <v>1</v>
      </c>
      <c r="AD48" s="8">
        <v>0</v>
      </c>
      <c r="AE48" s="8">
        <v>0</v>
      </c>
      <c r="AF48" s="8">
        <v>0</v>
      </c>
      <c r="AG48">
        <f t="shared" si="5"/>
        <v>10</v>
      </c>
    </row>
    <row r="49" spans="1:33" x14ac:dyDescent="0.25">
      <c r="B49" s="7">
        <v>0.625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1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1</v>
      </c>
      <c r="U49" s="8">
        <v>0</v>
      </c>
      <c r="V49" s="8">
        <v>0</v>
      </c>
      <c r="W49" s="8">
        <v>0</v>
      </c>
      <c r="X49" s="8">
        <v>0</v>
      </c>
      <c r="Y49" s="8">
        <v>1</v>
      </c>
      <c r="Z49" s="8">
        <v>0</v>
      </c>
      <c r="AA49" s="8">
        <v>0</v>
      </c>
      <c r="AB49" s="8">
        <v>0</v>
      </c>
      <c r="AC49" s="8">
        <v>0</v>
      </c>
      <c r="AD49" s="8">
        <v>1</v>
      </c>
      <c r="AE49" s="8">
        <v>1</v>
      </c>
      <c r="AF49" s="8">
        <v>0</v>
      </c>
      <c r="AG49">
        <f t="shared" si="5"/>
        <v>5</v>
      </c>
    </row>
    <row r="50" spans="1:33" x14ac:dyDescent="0.25">
      <c r="B50" s="7">
        <v>0.69791666666666696</v>
      </c>
      <c r="C50" s="8">
        <v>1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1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1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1</v>
      </c>
      <c r="AF50" s="8">
        <v>0</v>
      </c>
      <c r="AG50">
        <f t="shared" si="5"/>
        <v>4</v>
      </c>
    </row>
    <row r="51" spans="1:33" x14ac:dyDescent="0.25">
      <c r="A51" t="s">
        <v>20</v>
      </c>
      <c r="B51" s="7">
        <v>0.33333333333333331</v>
      </c>
      <c r="C51" s="8">
        <v>0</v>
      </c>
      <c r="D51" s="8">
        <v>0</v>
      </c>
      <c r="E51" s="8">
        <v>1</v>
      </c>
      <c r="F51" s="8">
        <v>0</v>
      </c>
      <c r="G51" s="8">
        <v>0</v>
      </c>
      <c r="H51" s="8">
        <v>0</v>
      </c>
      <c r="I51" s="8">
        <v>1</v>
      </c>
      <c r="J51" s="8">
        <v>1</v>
      </c>
      <c r="K51" s="8">
        <v>0</v>
      </c>
      <c r="L51" s="8">
        <v>0</v>
      </c>
      <c r="M51" s="8">
        <v>1</v>
      </c>
      <c r="N51" s="8">
        <v>1</v>
      </c>
      <c r="O51" s="8">
        <v>0</v>
      </c>
      <c r="P51" s="8">
        <v>0</v>
      </c>
      <c r="Q51" s="8">
        <v>1</v>
      </c>
      <c r="R51" s="8">
        <v>0</v>
      </c>
      <c r="S51" s="8">
        <v>0</v>
      </c>
      <c r="T51" s="8">
        <v>0</v>
      </c>
      <c r="U51" s="8">
        <v>1</v>
      </c>
      <c r="V51" s="8">
        <v>1</v>
      </c>
      <c r="W51" s="8">
        <v>0</v>
      </c>
      <c r="X51" s="8">
        <v>1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1</v>
      </c>
      <c r="AE51" s="8">
        <v>0</v>
      </c>
      <c r="AF51" s="8">
        <v>0</v>
      </c>
      <c r="AG51">
        <f t="shared" si="5"/>
        <v>10</v>
      </c>
    </row>
    <row r="52" spans="1:33" x14ac:dyDescent="0.25">
      <c r="B52" s="7">
        <v>0.40625</v>
      </c>
      <c r="C52" s="8">
        <v>1</v>
      </c>
      <c r="D52" s="8">
        <v>0</v>
      </c>
      <c r="E52" s="8">
        <v>0</v>
      </c>
      <c r="F52" s="8">
        <v>1</v>
      </c>
      <c r="G52" s="8">
        <v>0</v>
      </c>
      <c r="H52" s="8">
        <v>1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1</v>
      </c>
      <c r="R52" s="8">
        <v>0</v>
      </c>
      <c r="S52" s="8">
        <v>0</v>
      </c>
      <c r="T52" s="8">
        <v>1</v>
      </c>
      <c r="U52" s="8">
        <v>1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1</v>
      </c>
      <c r="AD52" s="8">
        <v>0</v>
      </c>
      <c r="AE52" s="8">
        <v>1</v>
      </c>
      <c r="AF52" s="8">
        <v>0</v>
      </c>
      <c r="AG52">
        <f t="shared" si="5"/>
        <v>8</v>
      </c>
    </row>
    <row r="53" spans="1:33" x14ac:dyDescent="0.25">
      <c r="B53" s="7">
        <v>0.47916666666666669</v>
      </c>
      <c r="C53" s="8">
        <v>0</v>
      </c>
      <c r="D53" s="8">
        <v>0</v>
      </c>
      <c r="E53" s="8">
        <v>1</v>
      </c>
      <c r="F53" s="8">
        <v>1</v>
      </c>
      <c r="G53" s="8">
        <v>1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1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>
        <f t="shared" si="5"/>
        <v>4</v>
      </c>
    </row>
    <row r="54" spans="1:33" x14ac:dyDescent="0.25">
      <c r="B54" s="7">
        <v>0.55208333333333304</v>
      </c>
      <c r="C54" s="8">
        <v>0</v>
      </c>
      <c r="D54" s="8">
        <v>0</v>
      </c>
      <c r="E54" s="8">
        <v>0</v>
      </c>
      <c r="F54" s="8">
        <v>0</v>
      </c>
      <c r="G54" s="8">
        <v>1</v>
      </c>
      <c r="H54" s="8">
        <v>0</v>
      </c>
      <c r="I54" s="8">
        <v>0</v>
      </c>
      <c r="J54" s="8">
        <v>0</v>
      </c>
      <c r="K54" s="8">
        <v>1</v>
      </c>
      <c r="L54" s="8">
        <v>0</v>
      </c>
      <c r="M54" s="8">
        <v>1</v>
      </c>
      <c r="N54" s="8">
        <v>0</v>
      </c>
      <c r="O54" s="8">
        <v>0</v>
      </c>
      <c r="P54" s="8">
        <v>0</v>
      </c>
      <c r="Q54" s="8">
        <v>1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1</v>
      </c>
      <c r="Z54" s="8">
        <v>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1</v>
      </c>
      <c r="AG54">
        <f t="shared" si="5"/>
        <v>7</v>
      </c>
    </row>
    <row r="55" spans="1:33" x14ac:dyDescent="0.25">
      <c r="B55" s="7">
        <v>0.625</v>
      </c>
      <c r="C55" s="8">
        <v>1</v>
      </c>
      <c r="D55" s="8">
        <v>0</v>
      </c>
      <c r="E55" s="8">
        <v>0</v>
      </c>
      <c r="F55" s="8">
        <v>1</v>
      </c>
      <c r="G55" s="8">
        <v>0</v>
      </c>
      <c r="H55" s="8">
        <v>0</v>
      </c>
      <c r="I55" s="8">
        <v>0</v>
      </c>
      <c r="J55" s="8">
        <v>0</v>
      </c>
      <c r="K55" s="8">
        <v>1</v>
      </c>
      <c r="L55" s="8">
        <v>1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1</v>
      </c>
      <c r="T55" s="8">
        <v>1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1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>
        <f t="shared" si="5"/>
        <v>7</v>
      </c>
    </row>
    <row r="56" spans="1:33" x14ac:dyDescent="0.25">
      <c r="B56" s="7">
        <v>0.69791666666666696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1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1</v>
      </c>
      <c r="R56" s="8">
        <v>0</v>
      </c>
      <c r="S56" s="8">
        <v>1</v>
      </c>
      <c r="T56" s="8">
        <v>0</v>
      </c>
      <c r="U56" s="8">
        <v>0</v>
      </c>
      <c r="V56" s="8">
        <v>1</v>
      </c>
      <c r="W56" s="8">
        <v>1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1</v>
      </c>
      <c r="AF56" s="8">
        <v>0</v>
      </c>
      <c r="AG56">
        <f t="shared" si="5"/>
        <v>6</v>
      </c>
    </row>
    <row r="57" spans="1:33" x14ac:dyDescent="0.25">
      <c r="A57" t="s">
        <v>21</v>
      </c>
      <c r="B57" s="7">
        <v>0.33333333333333331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1</v>
      </c>
      <c r="O57" s="8">
        <v>0</v>
      </c>
      <c r="P57" s="8">
        <v>0</v>
      </c>
      <c r="Q57" s="8">
        <v>0</v>
      </c>
      <c r="R57" s="8">
        <v>1</v>
      </c>
      <c r="S57" s="8">
        <v>1</v>
      </c>
      <c r="T57" s="8">
        <v>1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1</v>
      </c>
      <c r="AA57" s="8">
        <v>1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>
        <f t="shared" si="5"/>
        <v>6</v>
      </c>
    </row>
    <row r="58" spans="1:33" x14ac:dyDescent="0.25">
      <c r="B58" s="7">
        <v>0.40625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1</v>
      </c>
      <c r="I58" s="8">
        <v>0</v>
      </c>
      <c r="J58" s="8">
        <v>0</v>
      </c>
      <c r="K58" s="8">
        <v>0</v>
      </c>
      <c r="L58" s="8">
        <v>0</v>
      </c>
      <c r="M58" s="8">
        <v>1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1</v>
      </c>
      <c r="Y58" s="8">
        <v>0</v>
      </c>
      <c r="Z58" s="8">
        <v>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>
        <f t="shared" si="5"/>
        <v>4</v>
      </c>
    </row>
    <row r="59" spans="1:33" x14ac:dyDescent="0.25">
      <c r="B59" s="7">
        <v>0.47916666666666669</v>
      </c>
      <c r="C59" s="8">
        <v>0</v>
      </c>
      <c r="D59" s="8">
        <v>1</v>
      </c>
      <c r="E59" s="8">
        <v>0</v>
      </c>
      <c r="F59" s="8">
        <v>0</v>
      </c>
      <c r="G59" s="8">
        <v>1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1</v>
      </c>
      <c r="O59" s="8">
        <v>0</v>
      </c>
      <c r="P59" s="8">
        <v>1</v>
      </c>
      <c r="Q59" s="8">
        <v>0</v>
      </c>
      <c r="R59" s="8">
        <v>1</v>
      </c>
      <c r="S59" s="8">
        <v>0</v>
      </c>
      <c r="T59" s="8">
        <v>0</v>
      </c>
      <c r="U59" s="8">
        <v>0</v>
      </c>
      <c r="V59" s="8">
        <v>0</v>
      </c>
      <c r="W59" s="8">
        <v>1</v>
      </c>
      <c r="X59" s="8">
        <v>0</v>
      </c>
      <c r="Y59" s="8">
        <v>0</v>
      </c>
      <c r="Z59" s="8">
        <v>0</v>
      </c>
      <c r="AA59" s="8">
        <v>0</v>
      </c>
      <c r="AB59" s="8">
        <v>1</v>
      </c>
      <c r="AC59" s="8">
        <v>0</v>
      </c>
      <c r="AD59" s="8">
        <v>0</v>
      </c>
      <c r="AE59" s="8">
        <v>0</v>
      </c>
      <c r="AF59" s="8">
        <v>1</v>
      </c>
      <c r="AG59">
        <f t="shared" si="5"/>
        <v>8</v>
      </c>
    </row>
    <row r="60" spans="1:33" x14ac:dyDescent="0.25">
      <c r="B60" s="7">
        <v>0.55208333333333304</v>
      </c>
      <c r="C60" s="8">
        <v>0</v>
      </c>
      <c r="D60" s="8">
        <v>1</v>
      </c>
      <c r="E60" s="8">
        <v>0</v>
      </c>
      <c r="F60" s="8">
        <v>0</v>
      </c>
      <c r="G60" s="8">
        <v>1</v>
      </c>
      <c r="H60" s="8">
        <v>0</v>
      </c>
      <c r="I60" s="8">
        <v>1</v>
      </c>
      <c r="J60" s="8">
        <v>1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1</v>
      </c>
      <c r="T60" s="8">
        <v>0</v>
      </c>
      <c r="U60" s="8">
        <v>1</v>
      </c>
      <c r="V60" s="8">
        <v>0</v>
      </c>
      <c r="W60" s="8">
        <v>1</v>
      </c>
      <c r="X60" s="8">
        <v>0</v>
      </c>
      <c r="Y60" s="8">
        <v>1</v>
      </c>
      <c r="Z60" s="8">
        <v>1</v>
      </c>
      <c r="AA60" s="8">
        <v>0</v>
      </c>
      <c r="AB60" s="8">
        <v>1</v>
      </c>
      <c r="AC60" s="8">
        <v>0</v>
      </c>
      <c r="AD60" s="8">
        <v>0</v>
      </c>
      <c r="AE60" s="8">
        <v>0</v>
      </c>
      <c r="AF60" s="8">
        <v>0</v>
      </c>
      <c r="AG60">
        <f t="shared" si="5"/>
        <v>10</v>
      </c>
    </row>
    <row r="61" spans="1:33" x14ac:dyDescent="0.25">
      <c r="B61" s="7">
        <v>0.625</v>
      </c>
      <c r="C61" s="8">
        <v>0</v>
      </c>
      <c r="D61" s="8">
        <v>0</v>
      </c>
      <c r="E61" s="8">
        <v>1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1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1</v>
      </c>
      <c r="V61" s="8">
        <v>1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1</v>
      </c>
      <c r="AD61" s="8">
        <v>0</v>
      </c>
      <c r="AE61" s="8">
        <v>0</v>
      </c>
      <c r="AF61" s="8">
        <v>0</v>
      </c>
      <c r="AG61">
        <f t="shared" si="5"/>
        <v>5</v>
      </c>
    </row>
    <row r="62" spans="1:33" x14ac:dyDescent="0.25">
      <c r="B62" s="7">
        <v>0.69791666666666696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1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1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>
        <f t="shared" si="5"/>
        <v>2</v>
      </c>
    </row>
    <row r="63" spans="1:33" x14ac:dyDescent="0.25">
      <c r="C63">
        <f>SUM(C39:C62)</f>
        <v>5</v>
      </c>
      <c r="D63">
        <f t="shared" ref="D63:AF63" si="6">SUM(D39:D62)</f>
        <v>5</v>
      </c>
      <c r="E63">
        <f t="shared" si="6"/>
        <v>5</v>
      </c>
      <c r="F63">
        <f t="shared" si="6"/>
        <v>5</v>
      </c>
      <c r="G63">
        <f t="shared" si="6"/>
        <v>5</v>
      </c>
      <c r="H63">
        <f t="shared" si="6"/>
        <v>5</v>
      </c>
      <c r="I63">
        <f t="shared" si="6"/>
        <v>5</v>
      </c>
      <c r="J63">
        <f t="shared" si="6"/>
        <v>5</v>
      </c>
      <c r="K63">
        <f t="shared" si="6"/>
        <v>5</v>
      </c>
      <c r="L63">
        <f t="shared" si="6"/>
        <v>5</v>
      </c>
      <c r="M63">
        <f t="shared" si="6"/>
        <v>5</v>
      </c>
      <c r="N63">
        <f t="shared" si="6"/>
        <v>5</v>
      </c>
      <c r="O63">
        <f t="shared" si="6"/>
        <v>5</v>
      </c>
      <c r="P63">
        <f t="shared" si="6"/>
        <v>5</v>
      </c>
      <c r="Q63">
        <f t="shared" si="6"/>
        <v>5</v>
      </c>
      <c r="R63">
        <f t="shared" si="6"/>
        <v>5</v>
      </c>
      <c r="S63">
        <f t="shared" si="6"/>
        <v>5</v>
      </c>
      <c r="T63">
        <f t="shared" si="6"/>
        <v>5</v>
      </c>
      <c r="U63">
        <f t="shared" si="6"/>
        <v>5</v>
      </c>
      <c r="V63">
        <f t="shared" si="6"/>
        <v>5</v>
      </c>
      <c r="W63">
        <f t="shared" si="6"/>
        <v>5</v>
      </c>
      <c r="X63">
        <f t="shared" si="6"/>
        <v>5</v>
      </c>
      <c r="Y63">
        <f t="shared" si="6"/>
        <v>5</v>
      </c>
      <c r="Z63">
        <f t="shared" si="6"/>
        <v>5</v>
      </c>
      <c r="AA63">
        <f t="shared" si="6"/>
        <v>5</v>
      </c>
      <c r="AB63">
        <f t="shared" si="6"/>
        <v>5</v>
      </c>
      <c r="AC63">
        <f t="shared" si="6"/>
        <v>5</v>
      </c>
      <c r="AD63">
        <f t="shared" si="6"/>
        <v>5</v>
      </c>
      <c r="AE63">
        <f t="shared" si="6"/>
        <v>5</v>
      </c>
      <c r="AF63">
        <f t="shared" si="6"/>
        <v>5</v>
      </c>
    </row>
    <row r="66" spans="3:32" x14ac:dyDescent="0.25">
      <c r="C66">
        <f>SUMPRODUCT($P$11:$P$34,C39:C62)</f>
        <v>2</v>
      </c>
      <c r="D66">
        <f t="shared" ref="D66:AF66" si="7">SUMPRODUCT($P$11:$P$34,D39:D62)</f>
        <v>2</v>
      </c>
      <c r="E66">
        <f t="shared" si="7"/>
        <v>2</v>
      </c>
      <c r="F66">
        <f t="shared" si="7"/>
        <v>3</v>
      </c>
      <c r="G66">
        <f t="shared" si="7"/>
        <v>3</v>
      </c>
      <c r="H66">
        <f t="shared" si="7"/>
        <v>2</v>
      </c>
      <c r="I66">
        <f t="shared" si="7"/>
        <v>2</v>
      </c>
      <c r="J66">
        <f t="shared" si="7"/>
        <v>1</v>
      </c>
      <c r="K66">
        <f t="shared" si="7"/>
        <v>1</v>
      </c>
      <c r="L66">
        <f t="shared" si="7"/>
        <v>1</v>
      </c>
      <c r="M66">
        <f t="shared" si="7"/>
        <v>1</v>
      </c>
      <c r="N66">
        <f t="shared" si="7"/>
        <v>2</v>
      </c>
      <c r="O66">
        <f t="shared" si="7"/>
        <v>1</v>
      </c>
      <c r="P66">
        <f t="shared" si="7"/>
        <v>2</v>
      </c>
      <c r="Q66">
        <f t="shared" si="7"/>
        <v>2</v>
      </c>
      <c r="R66">
        <f t="shared" si="7"/>
        <v>1</v>
      </c>
      <c r="S66">
        <f t="shared" si="7"/>
        <v>2</v>
      </c>
      <c r="T66">
        <f t="shared" si="7"/>
        <v>2</v>
      </c>
      <c r="U66">
        <f t="shared" si="7"/>
        <v>3</v>
      </c>
      <c r="V66">
        <f t="shared" si="7"/>
        <v>3</v>
      </c>
      <c r="W66">
        <f t="shared" si="7"/>
        <v>5</v>
      </c>
      <c r="X66">
        <f t="shared" si="7"/>
        <v>1</v>
      </c>
      <c r="Y66">
        <f t="shared" si="7"/>
        <v>2</v>
      </c>
      <c r="Z66">
        <f t="shared" si="7"/>
        <v>2</v>
      </c>
      <c r="AA66">
        <f t="shared" si="7"/>
        <v>1</v>
      </c>
      <c r="AB66">
        <f t="shared" si="7"/>
        <v>4</v>
      </c>
      <c r="AC66">
        <f t="shared" si="7"/>
        <v>2</v>
      </c>
      <c r="AD66">
        <f t="shared" si="7"/>
        <v>3</v>
      </c>
      <c r="AE66">
        <f t="shared" si="7"/>
        <v>3</v>
      </c>
      <c r="AF66">
        <f t="shared" si="7"/>
        <v>2</v>
      </c>
    </row>
    <row r="68" spans="3:32" x14ac:dyDescent="0.25"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993C3-CD92-48C0-8272-3E9AABFDBA1C}">
  <dimension ref="A1:AI68"/>
  <sheetViews>
    <sheetView tabSelected="1" topLeftCell="A3" workbookViewId="0">
      <selection activeCell="U27" sqref="U27"/>
    </sheetView>
  </sheetViews>
  <sheetFormatPr defaultRowHeight="15" x14ac:dyDescent="0.25"/>
  <cols>
    <col min="1" max="1" width="18.28515625" customWidth="1"/>
    <col min="2" max="2" width="14.7109375" customWidth="1"/>
    <col min="3" max="6" width="9" bestFit="1" customWidth="1"/>
    <col min="7" max="7" width="15.42578125" customWidth="1"/>
    <col min="8" max="8" width="10.7109375" customWidth="1"/>
    <col min="9" max="9" width="12.5703125" customWidth="1"/>
    <col min="10" max="10" width="14.85546875" customWidth="1"/>
    <col min="11" max="11" width="9" bestFit="1" customWidth="1"/>
    <col min="12" max="12" width="15.5703125" customWidth="1"/>
    <col min="13" max="13" width="9" bestFit="1" customWidth="1"/>
    <col min="14" max="15" width="12" bestFit="1" customWidth="1"/>
    <col min="16" max="16" width="10.28515625" customWidth="1"/>
    <col min="17" max="18" width="9" bestFit="1" customWidth="1"/>
    <col min="19" max="19" width="11.7109375" bestFit="1" customWidth="1"/>
    <col min="20" max="20" width="14.140625" customWidth="1"/>
    <col min="21" max="22" width="9" bestFit="1" customWidth="1"/>
    <col min="23" max="23" width="10" customWidth="1"/>
    <col min="24" max="24" width="8.28515625" customWidth="1"/>
    <col min="25" max="25" width="9" bestFit="1" customWidth="1"/>
    <col min="26" max="26" width="13.7109375" customWidth="1"/>
    <col min="27" max="31" width="9" bestFit="1" customWidth="1"/>
    <col min="32" max="32" width="10.7109375" customWidth="1"/>
    <col min="33" max="33" width="9" bestFit="1" customWidth="1"/>
    <col min="35" max="35" width="13.28515625" customWidth="1"/>
  </cols>
  <sheetData>
    <row r="1" spans="1:31" ht="15.75" thickBot="1" x14ac:dyDescent="0.3"/>
    <row r="2" spans="1:31" ht="16.5" thickTop="1" thickBot="1" x14ac:dyDescent="0.3">
      <c r="E2" s="1" t="s">
        <v>0</v>
      </c>
      <c r="F2" s="2">
        <f>P11</f>
        <v>0</v>
      </c>
      <c r="G2" s="3"/>
      <c r="J2" s="1" t="s">
        <v>1</v>
      </c>
      <c r="K2" s="2">
        <f>K35</f>
        <v>2</v>
      </c>
      <c r="L2" s="3"/>
      <c r="R2" s="1" t="s">
        <v>2</v>
      </c>
      <c r="S2" s="2">
        <f ca="1">C66</f>
        <v>4</v>
      </c>
      <c r="T2" s="3"/>
    </row>
    <row r="3" spans="1:31" ht="16.5" thickTop="1" thickBot="1" x14ac:dyDescent="0.3">
      <c r="E3" s="1" t="s">
        <v>3</v>
      </c>
      <c r="F3" s="2">
        <f>P34</f>
        <v>1</v>
      </c>
      <c r="G3" s="3"/>
      <c r="J3" s="1" t="s">
        <v>4</v>
      </c>
      <c r="K3" s="2">
        <f>O35</f>
        <v>2</v>
      </c>
      <c r="L3" s="3"/>
      <c r="R3" s="1" t="s">
        <v>5</v>
      </c>
      <c r="S3" s="2">
        <f ca="1">AF66</f>
        <v>7</v>
      </c>
      <c r="T3" s="3"/>
    </row>
    <row r="4" spans="1:31" ht="16.5" thickTop="1" thickBot="1" x14ac:dyDescent="0.3">
      <c r="G4" s="4"/>
      <c r="L4" s="4"/>
      <c r="R4" s="1" t="s">
        <v>6</v>
      </c>
      <c r="S4" s="2">
        <f ca="1">Q35</f>
        <v>15</v>
      </c>
      <c r="T4" s="3"/>
    </row>
    <row r="5" spans="1:31" ht="16.5" thickTop="1" thickBot="1" x14ac:dyDescent="0.3">
      <c r="G5" s="4"/>
      <c r="L5" s="4"/>
    </row>
    <row r="6" spans="1:31" ht="16.5" thickTop="1" thickBot="1" x14ac:dyDescent="0.3">
      <c r="E6" s="1" t="s">
        <v>7</v>
      </c>
      <c r="F6" s="2">
        <f>AE11</f>
        <v>4</v>
      </c>
      <c r="G6" s="3"/>
      <c r="J6" s="1" t="s">
        <v>8</v>
      </c>
      <c r="K6" s="2">
        <f ca="1">K9</f>
        <v>4</v>
      </c>
      <c r="L6" s="3"/>
      <c r="N6" s="14" t="s">
        <v>70</v>
      </c>
    </row>
    <row r="7" spans="1:31" ht="16.5" thickTop="1" thickBot="1" x14ac:dyDescent="0.3">
      <c r="E7" s="1" t="s">
        <v>9</v>
      </c>
      <c r="F7" s="2">
        <f>AE12</f>
        <v>6</v>
      </c>
      <c r="G7" s="3"/>
      <c r="J7" s="1" t="s">
        <v>10</v>
      </c>
      <c r="K7" s="2">
        <f ca="1">N9</f>
        <v>3</v>
      </c>
      <c r="L7" s="3"/>
    </row>
    <row r="8" spans="1:31" s="5" customFormat="1" ht="16.5" thickTop="1" thickBot="1" x14ac:dyDescent="0.3"/>
    <row r="9" spans="1:31" ht="15.75" thickTop="1" x14ac:dyDescent="0.25">
      <c r="C9" s="6" t="s">
        <v>11</v>
      </c>
      <c r="I9" t="s">
        <v>55</v>
      </c>
      <c r="K9">
        <f ca="1">SUMPRODUCT(K11:K34,X11:X34)</f>
        <v>4</v>
      </c>
      <c r="L9">
        <f ca="1">SUMPRODUCT(L11:L34,Y11:Y34)</f>
        <v>3</v>
      </c>
      <c r="M9">
        <f ca="1">SUMPRODUCT(M11:M34,Z11:Z34)</f>
        <v>5</v>
      </c>
      <c r="N9">
        <f ca="1">SUMPRODUCT(N11:N34,AA11:AA34)</f>
        <v>3</v>
      </c>
      <c r="V9" t="s">
        <v>12</v>
      </c>
    </row>
    <row r="10" spans="1:31" x14ac:dyDescent="0.25">
      <c r="C10" t="s">
        <v>13</v>
      </c>
      <c r="D10" t="s">
        <v>14</v>
      </c>
      <c r="E10" t="s">
        <v>15</v>
      </c>
      <c r="F10" t="s">
        <v>16</v>
      </c>
      <c r="G10" s="6" t="s">
        <v>17</v>
      </c>
      <c r="K10" t="s">
        <v>13</v>
      </c>
      <c r="L10" t="s">
        <v>14</v>
      </c>
      <c r="M10" t="s">
        <v>15</v>
      </c>
      <c r="N10" t="s">
        <v>16</v>
      </c>
      <c r="O10" s="6" t="s">
        <v>17</v>
      </c>
      <c r="X10" t="s">
        <v>13</v>
      </c>
      <c r="Y10" t="s">
        <v>14</v>
      </c>
      <c r="Z10" t="s">
        <v>15</v>
      </c>
      <c r="AA10" t="s">
        <v>16</v>
      </c>
      <c r="AB10" s="6" t="s">
        <v>17</v>
      </c>
    </row>
    <row r="11" spans="1:31" x14ac:dyDescent="0.25">
      <c r="A11" t="s">
        <v>18</v>
      </c>
      <c r="B11" s="7">
        <v>0.33333333333333331</v>
      </c>
      <c r="C11" s="8" cm="1">
        <f t="array" aca="1" ref="C11:G34" ca="1">INDIRECT(INDEX('Class list and cell link'!B2:C4,'Class list and cell link'!D1,1))</f>
        <v>8</v>
      </c>
      <c r="D11" s="8">
        <f ca="1"/>
        <v>0</v>
      </c>
      <c r="E11" s="8">
        <f ca="1"/>
        <v>0</v>
      </c>
      <c r="F11" s="8">
        <f ca="1"/>
        <v>0</v>
      </c>
      <c r="G11" s="8">
        <f ca="1"/>
        <v>1</v>
      </c>
      <c r="I11" t="s">
        <v>18</v>
      </c>
      <c r="J11" s="7">
        <v>0.33333333333333331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>
        <f>SUM(K11:O11)</f>
        <v>0</v>
      </c>
      <c r="Q11" s="9">
        <v>1</v>
      </c>
      <c r="V11" t="s">
        <v>18</v>
      </c>
      <c r="W11" s="7">
        <v>0.33333333333333331</v>
      </c>
      <c r="X11" s="10">
        <f t="shared" ref="X11:AB34" ca="1" si="0">IF(C11=0,99,C11)</f>
        <v>8</v>
      </c>
      <c r="Y11" s="10">
        <f t="shared" ca="1" si="0"/>
        <v>99</v>
      </c>
      <c r="Z11" s="10">
        <f t="shared" ca="1" si="0"/>
        <v>99</v>
      </c>
      <c r="AA11" s="10">
        <f t="shared" ca="1" si="0"/>
        <v>99</v>
      </c>
      <c r="AB11" s="10">
        <f t="shared" ca="1" si="0"/>
        <v>1</v>
      </c>
      <c r="AD11" t="s">
        <v>56</v>
      </c>
      <c r="AE11">
        <f>SUM(K11:O22)</f>
        <v>4</v>
      </c>
    </row>
    <row r="12" spans="1:31" x14ac:dyDescent="0.25">
      <c r="B12" s="7">
        <v>0.40625</v>
      </c>
      <c r="C12" s="8">
        <f ca="1"/>
        <v>1</v>
      </c>
      <c r="D12" s="8">
        <f ca="1"/>
        <v>0</v>
      </c>
      <c r="E12" s="8">
        <f ca="1"/>
        <v>0</v>
      </c>
      <c r="F12" s="8">
        <f ca="1"/>
        <v>0</v>
      </c>
      <c r="G12" s="8">
        <f ca="1"/>
        <v>0</v>
      </c>
      <c r="J12" s="7">
        <v>0.40625</v>
      </c>
      <c r="K12" s="15">
        <v>1</v>
      </c>
      <c r="L12" s="15">
        <v>0</v>
      </c>
      <c r="M12" s="15">
        <v>0</v>
      </c>
      <c r="N12" s="15">
        <v>0</v>
      </c>
      <c r="O12" s="15">
        <v>0</v>
      </c>
      <c r="P12">
        <f t="shared" ref="P12:P34" si="1">SUM(K12:O12)</f>
        <v>1</v>
      </c>
      <c r="Q12" s="9">
        <v>1</v>
      </c>
      <c r="W12" s="7">
        <v>0.40625</v>
      </c>
      <c r="X12" s="10">
        <f t="shared" ca="1" si="0"/>
        <v>1</v>
      </c>
      <c r="Y12" s="10">
        <f t="shared" ca="1" si="0"/>
        <v>99</v>
      </c>
      <c r="Z12" s="10">
        <f t="shared" ca="1" si="0"/>
        <v>99</v>
      </c>
      <c r="AA12" s="10">
        <f t="shared" ca="1" si="0"/>
        <v>99</v>
      </c>
      <c r="AB12" s="10">
        <f t="shared" ca="1" si="0"/>
        <v>99</v>
      </c>
      <c r="AD12" t="s">
        <v>57</v>
      </c>
      <c r="AE12">
        <f>SUM(K23:O34)</f>
        <v>6</v>
      </c>
    </row>
    <row r="13" spans="1:31" x14ac:dyDescent="0.25">
      <c r="B13" s="7">
        <v>0.47916666666666669</v>
      </c>
      <c r="C13" s="8">
        <f ca="1"/>
        <v>2</v>
      </c>
      <c r="D13" s="8">
        <f ca="1"/>
        <v>1</v>
      </c>
      <c r="E13" s="8">
        <f ca="1"/>
        <v>1</v>
      </c>
      <c r="F13" s="8">
        <f ca="1"/>
        <v>9</v>
      </c>
      <c r="G13" s="8">
        <f ca="1"/>
        <v>0</v>
      </c>
      <c r="J13" s="7">
        <v>0.47916666666666669</v>
      </c>
      <c r="K13" s="15">
        <v>0</v>
      </c>
      <c r="L13" s="15">
        <v>1</v>
      </c>
      <c r="M13" s="15">
        <v>0</v>
      </c>
      <c r="N13" s="15">
        <v>0</v>
      </c>
      <c r="O13" s="15">
        <v>0</v>
      </c>
      <c r="P13">
        <f t="shared" si="1"/>
        <v>1</v>
      </c>
      <c r="Q13" s="9">
        <v>1</v>
      </c>
      <c r="W13" s="7">
        <v>0.47916666666666669</v>
      </c>
      <c r="X13" s="10">
        <f t="shared" ca="1" si="0"/>
        <v>2</v>
      </c>
      <c r="Y13" s="10">
        <f t="shared" ca="1" si="0"/>
        <v>1</v>
      </c>
      <c r="Z13" s="10">
        <f t="shared" ca="1" si="0"/>
        <v>1</v>
      </c>
      <c r="AA13" s="10">
        <f t="shared" ca="1" si="0"/>
        <v>9</v>
      </c>
      <c r="AB13" s="10">
        <f t="shared" ca="1" si="0"/>
        <v>99</v>
      </c>
      <c r="AD13" t="s">
        <v>58</v>
      </c>
      <c r="AE13">
        <f>AE12-1</f>
        <v>5</v>
      </c>
    </row>
    <row r="14" spans="1:31" x14ac:dyDescent="0.25">
      <c r="B14" s="7">
        <v>0.55208333333333304</v>
      </c>
      <c r="C14" s="8">
        <f ca="1"/>
        <v>0</v>
      </c>
      <c r="D14" s="8">
        <f ca="1"/>
        <v>3</v>
      </c>
      <c r="E14" s="8">
        <f ca="1"/>
        <v>7</v>
      </c>
      <c r="F14" s="8">
        <f ca="1"/>
        <v>0</v>
      </c>
      <c r="G14" s="8">
        <f ca="1"/>
        <v>1</v>
      </c>
      <c r="J14" s="7">
        <v>0.55208333333333304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>
        <f t="shared" si="1"/>
        <v>0</v>
      </c>
      <c r="Q14" s="9">
        <v>1</v>
      </c>
      <c r="W14" s="7">
        <v>0.55208333333333304</v>
      </c>
      <c r="X14" s="10">
        <f t="shared" ca="1" si="0"/>
        <v>99</v>
      </c>
      <c r="Y14" s="10">
        <f t="shared" ca="1" si="0"/>
        <v>3</v>
      </c>
      <c r="Z14" s="10">
        <f t="shared" ca="1" si="0"/>
        <v>7</v>
      </c>
      <c r="AA14" s="10">
        <f t="shared" ca="1" si="0"/>
        <v>99</v>
      </c>
      <c r="AB14" s="10">
        <f t="shared" ca="1" si="0"/>
        <v>1</v>
      </c>
    </row>
    <row r="15" spans="1:31" x14ac:dyDescent="0.25">
      <c r="B15" s="7">
        <v>0.625</v>
      </c>
      <c r="C15" s="8">
        <f ca="1"/>
        <v>10</v>
      </c>
      <c r="D15" s="8">
        <f ca="1"/>
        <v>4</v>
      </c>
      <c r="E15" s="8">
        <f ca="1"/>
        <v>0</v>
      </c>
      <c r="F15" s="8">
        <f ca="1"/>
        <v>6</v>
      </c>
      <c r="G15" s="8">
        <f ca="1"/>
        <v>1</v>
      </c>
      <c r="J15" s="7">
        <v>0.625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>
        <f t="shared" si="1"/>
        <v>0</v>
      </c>
      <c r="Q15" s="9">
        <v>1</v>
      </c>
      <c r="W15" s="7">
        <v>0.625</v>
      </c>
      <c r="X15" s="10">
        <f t="shared" ca="1" si="0"/>
        <v>10</v>
      </c>
      <c r="Y15" s="10">
        <f t="shared" ca="1" si="0"/>
        <v>4</v>
      </c>
      <c r="Z15" s="10">
        <f t="shared" ca="1" si="0"/>
        <v>99</v>
      </c>
      <c r="AA15" s="10">
        <f t="shared" ca="1" si="0"/>
        <v>6</v>
      </c>
      <c r="AB15" s="10">
        <f t="shared" ca="1" si="0"/>
        <v>1</v>
      </c>
    </row>
    <row r="16" spans="1:31" x14ac:dyDescent="0.25">
      <c r="B16" s="7">
        <v>0.69791666666666696</v>
      </c>
      <c r="C16" s="8">
        <f ca="1"/>
        <v>0</v>
      </c>
      <c r="D16" s="8">
        <f ca="1"/>
        <v>6</v>
      </c>
      <c r="E16" s="8">
        <f ca="1"/>
        <v>0</v>
      </c>
      <c r="F16" s="8">
        <f ca="1"/>
        <v>0</v>
      </c>
      <c r="G16" s="8">
        <f ca="1"/>
        <v>1</v>
      </c>
      <c r="J16" s="7">
        <v>0.69791666666666696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>
        <f t="shared" si="1"/>
        <v>0</v>
      </c>
      <c r="Q16" s="9">
        <v>1</v>
      </c>
      <c r="W16" s="7">
        <v>0.69791666666666696</v>
      </c>
      <c r="X16" s="10">
        <f t="shared" ca="1" si="0"/>
        <v>99</v>
      </c>
      <c r="Y16" s="10">
        <f t="shared" ca="1" si="0"/>
        <v>6</v>
      </c>
      <c r="Z16" s="10">
        <f t="shared" ca="1" si="0"/>
        <v>99</v>
      </c>
      <c r="AA16" s="10">
        <f t="shared" ca="1" si="0"/>
        <v>99</v>
      </c>
      <c r="AB16" s="10">
        <f t="shared" ca="1" si="0"/>
        <v>1</v>
      </c>
    </row>
    <row r="17" spans="1:35" x14ac:dyDescent="0.25">
      <c r="A17" t="s">
        <v>19</v>
      </c>
      <c r="B17" s="7">
        <v>0.33333333333333331</v>
      </c>
      <c r="C17" s="8">
        <f ca="1"/>
        <v>0</v>
      </c>
      <c r="D17" s="8">
        <f ca="1"/>
        <v>0</v>
      </c>
      <c r="E17" s="8">
        <f ca="1"/>
        <v>0</v>
      </c>
      <c r="F17" s="8">
        <f ca="1"/>
        <v>0</v>
      </c>
      <c r="G17" s="8">
        <f ca="1"/>
        <v>1</v>
      </c>
      <c r="I17" t="s">
        <v>19</v>
      </c>
      <c r="J17" s="7">
        <v>0.33333333333333331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>
        <f t="shared" si="1"/>
        <v>0</v>
      </c>
      <c r="Q17" s="9">
        <v>1</v>
      </c>
      <c r="V17" t="s">
        <v>19</v>
      </c>
      <c r="W17" s="7">
        <v>0.33333333333333331</v>
      </c>
      <c r="X17" s="10">
        <f t="shared" ca="1" si="0"/>
        <v>99</v>
      </c>
      <c r="Y17" s="10">
        <f t="shared" ca="1" si="0"/>
        <v>99</v>
      </c>
      <c r="Z17" s="10">
        <f t="shared" ca="1" si="0"/>
        <v>99</v>
      </c>
      <c r="AA17" s="10">
        <f t="shared" ca="1" si="0"/>
        <v>99</v>
      </c>
      <c r="AB17" s="10">
        <f t="shared" ca="1" si="0"/>
        <v>1</v>
      </c>
    </row>
    <row r="18" spans="1:35" x14ac:dyDescent="0.25">
      <c r="B18" s="7">
        <v>0.40625</v>
      </c>
      <c r="C18" s="8">
        <f ca="1"/>
        <v>0</v>
      </c>
      <c r="D18" s="8">
        <f ca="1"/>
        <v>10</v>
      </c>
      <c r="E18" s="8">
        <f ca="1"/>
        <v>0</v>
      </c>
      <c r="F18" s="8">
        <f ca="1"/>
        <v>2</v>
      </c>
      <c r="G18" s="8">
        <f ca="1"/>
        <v>1</v>
      </c>
      <c r="J18" s="7">
        <v>0.40625</v>
      </c>
      <c r="K18" s="15">
        <v>0</v>
      </c>
      <c r="L18" s="15">
        <v>0</v>
      </c>
      <c r="M18" s="15">
        <v>0</v>
      </c>
      <c r="N18" s="15">
        <v>1</v>
      </c>
      <c r="O18" s="15">
        <v>0</v>
      </c>
      <c r="P18">
        <f t="shared" si="1"/>
        <v>1</v>
      </c>
      <c r="Q18" s="9">
        <v>1</v>
      </c>
      <c r="W18" s="7">
        <v>0.40625</v>
      </c>
      <c r="X18" s="10">
        <f t="shared" ca="1" si="0"/>
        <v>99</v>
      </c>
      <c r="Y18" s="10">
        <f t="shared" ca="1" si="0"/>
        <v>10</v>
      </c>
      <c r="Z18" s="10">
        <f t="shared" ca="1" si="0"/>
        <v>99</v>
      </c>
      <c r="AA18" s="10">
        <f t="shared" ca="1" si="0"/>
        <v>2</v>
      </c>
      <c r="AB18" s="10">
        <f t="shared" ca="1" si="0"/>
        <v>1</v>
      </c>
    </row>
    <row r="19" spans="1:35" x14ac:dyDescent="0.25">
      <c r="B19" s="7">
        <v>0.47916666666666669</v>
      </c>
      <c r="C19" s="8">
        <f ca="1"/>
        <v>5</v>
      </c>
      <c r="D19" s="8">
        <f ca="1"/>
        <v>0</v>
      </c>
      <c r="E19" s="8">
        <f ca="1"/>
        <v>2</v>
      </c>
      <c r="F19" s="8">
        <f ca="1"/>
        <v>0</v>
      </c>
      <c r="G19" s="8">
        <f ca="1"/>
        <v>0</v>
      </c>
      <c r="J19" s="7">
        <v>0.47916666666666669</v>
      </c>
      <c r="K19" s="15">
        <v>0</v>
      </c>
      <c r="L19" s="15">
        <v>0</v>
      </c>
      <c r="M19" s="15">
        <v>1</v>
      </c>
      <c r="N19" s="15">
        <v>0</v>
      </c>
      <c r="O19" s="15">
        <v>0</v>
      </c>
      <c r="P19">
        <f t="shared" si="1"/>
        <v>1</v>
      </c>
      <c r="Q19" s="9">
        <v>1</v>
      </c>
      <c r="W19" s="7">
        <v>0.47916666666666669</v>
      </c>
      <c r="X19" s="10">
        <f t="shared" ca="1" si="0"/>
        <v>5</v>
      </c>
      <c r="Y19" s="10">
        <f t="shared" ca="1" si="0"/>
        <v>99</v>
      </c>
      <c r="Z19" s="10">
        <f t="shared" ca="1" si="0"/>
        <v>2</v>
      </c>
      <c r="AA19" s="10">
        <f t="shared" ca="1" si="0"/>
        <v>99</v>
      </c>
      <c r="AB19" s="10">
        <f t="shared" ca="1" si="0"/>
        <v>99</v>
      </c>
    </row>
    <row r="20" spans="1:35" x14ac:dyDescent="0.25">
      <c r="B20" s="7">
        <v>0.55208333333333304</v>
      </c>
      <c r="C20" s="8">
        <f ca="1"/>
        <v>0</v>
      </c>
      <c r="D20" s="8">
        <f ca="1"/>
        <v>0</v>
      </c>
      <c r="E20" s="8">
        <f ca="1"/>
        <v>0</v>
      </c>
      <c r="F20" s="8">
        <f ca="1"/>
        <v>0</v>
      </c>
      <c r="G20" s="8">
        <f ca="1"/>
        <v>0</v>
      </c>
      <c r="J20" s="7">
        <v>0.55208333333333304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>
        <f t="shared" si="1"/>
        <v>0</v>
      </c>
      <c r="Q20" s="9">
        <v>1</v>
      </c>
      <c r="W20" s="7">
        <v>0.55208333333333304</v>
      </c>
      <c r="X20" s="10">
        <f t="shared" ca="1" si="0"/>
        <v>99</v>
      </c>
      <c r="Y20" s="10">
        <f t="shared" ca="1" si="0"/>
        <v>99</v>
      </c>
      <c r="Z20" s="10">
        <f t="shared" ca="1" si="0"/>
        <v>99</v>
      </c>
      <c r="AA20" s="10">
        <f t="shared" ca="1" si="0"/>
        <v>99</v>
      </c>
      <c r="AB20" s="10">
        <f t="shared" ca="1" si="0"/>
        <v>99</v>
      </c>
    </row>
    <row r="21" spans="1:35" x14ac:dyDescent="0.25">
      <c r="B21" s="7">
        <v>0.625</v>
      </c>
      <c r="C21" s="8">
        <f ca="1"/>
        <v>7</v>
      </c>
      <c r="D21" s="8">
        <f ca="1"/>
        <v>7</v>
      </c>
      <c r="E21" s="8">
        <f ca="1"/>
        <v>0</v>
      </c>
      <c r="F21" s="8">
        <f ca="1"/>
        <v>0</v>
      </c>
      <c r="G21" s="8">
        <f ca="1"/>
        <v>1</v>
      </c>
      <c r="J21" s="7">
        <v>0.625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>
        <f t="shared" si="1"/>
        <v>0</v>
      </c>
      <c r="Q21" s="9">
        <v>1</v>
      </c>
      <c r="W21" s="7">
        <v>0.625</v>
      </c>
      <c r="X21" s="10">
        <f t="shared" ca="1" si="0"/>
        <v>7</v>
      </c>
      <c r="Y21" s="10">
        <f t="shared" ca="1" si="0"/>
        <v>7</v>
      </c>
      <c r="Z21" s="10">
        <f t="shared" ca="1" si="0"/>
        <v>99</v>
      </c>
      <c r="AA21" s="10">
        <f t="shared" ca="1" si="0"/>
        <v>99</v>
      </c>
      <c r="AB21" s="10">
        <f t="shared" ca="1" si="0"/>
        <v>1</v>
      </c>
    </row>
    <row r="22" spans="1:35" x14ac:dyDescent="0.25">
      <c r="B22" s="7">
        <v>0.69791666666666696</v>
      </c>
      <c r="C22" s="8">
        <f ca="1"/>
        <v>0</v>
      </c>
      <c r="D22" s="8">
        <f ca="1"/>
        <v>0</v>
      </c>
      <c r="E22" s="8">
        <f ca="1"/>
        <v>0</v>
      </c>
      <c r="F22" s="8">
        <f ca="1"/>
        <v>0</v>
      </c>
      <c r="G22" s="8">
        <f ca="1"/>
        <v>1</v>
      </c>
      <c r="J22" s="7">
        <v>0.69791666666666696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>
        <f t="shared" si="1"/>
        <v>0</v>
      </c>
      <c r="Q22" s="9">
        <v>1</v>
      </c>
      <c r="W22" s="7">
        <v>0.69791666666666696</v>
      </c>
      <c r="X22" s="10">
        <f t="shared" ca="1" si="0"/>
        <v>99</v>
      </c>
      <c r="Y22" s="10">
        <f t="shared" ca="1" si="0"/>
        <v>99</v>
      </c>
      <c r="Z22" s="10">
        <f t="shared" ca="1" si="0"/>
        <v>99</v>
      </c>
      <c r="AA22" s="10">
        <f t="shared" ca="1" si="0"/>
        <v>99</v>
      </c>
      <c r="AB22" s="10">
        <f t="shared" ca="1" si="0"/>
        <v>1</v>
      </c>
    </row>
    <row r="23" spans="1:35" x14ac:dyDescent="0.25">
      <c r="A23" t="s">
        <v>20</v>
      </c>
      <c r="B23" s="7">
        <v>0.33333333333333331</v>
      </c>
      <c r="C23" s="8">
        <f ca="1"/>
        <v>0</v>
      </c>
      <c r="D23" s="8">
        <f ca="1"/>
        <v>0</v>
      </c>
      <c r="E23" s="8">
        <f ca="1"/>
        <v>9</v>
      </c>
      <c r="F23" s="8">
        <f ca="1"/>
        <v>0</v>
      </c>
      <c r="G23" s="8">
        <f ca="1"/>
        <v>1</v>
      </c>
      <c r="I23" t="s">
        <v>20</v>
      </c>
      <c r="J23" s="7">
        <v>0.33333333333333331</v>
      </c>
      <c r="K23" s="15">
        <v>0</v>
      </c>
      <c r="L23" s="15">
        <v>0</v>
      </c>
      <c r="M23" s="15">
        <v>0</v>
      </c>
      <c r="N23" s="15">
        <v>0</v>
      </c>
      <c r="O23" s="15">
        <v>1</v>
      </c>
      <c r="P23">
        <f t="shared" si="1"/>
        <v>1</v>
      </c>
      <c r="Q23" s="9">
        <v>1</v>
      </c>
      <c r="V23" t="s">
        <v>20</v>
      </c>
      <c r="W23" s="7">
        <v>0.33333333333333331</v>
      </c>
      <c r="X23" s="10">
        <f t="shared" ca="1" si="0"/>
        <v>99</v>
      </c>
      <c r="Y23" s="10">
        <f t="shared" ca="1" si="0"/>
        <v>99</v>
      </c>
      <c r="Z23" s="10">
        <f t="shared" ca="1" si="0"/>
        <v>9</v>
      </c>
      <c r="AA23" s="10">
        <f t="shared" ca="1" si="0"/>
        <v>99</v>
      </c>
      <c r="AB23" s="10">
        <f t="shared" ca="1" si="0"/>
        <v>1</v>
      </c>
    </row>
    <row r="24" spans="1:35" x14ac:dyDescent="0.25">
      <c r="B24" s="7">
        <v>0.40625</v>
      </c>
      <c r="C24" s="8">
        <f ca="1"/>
        <v>4</v>
      </c>
      <c r="D24" s="8">
        <f ca="1"/>
        <v>0</v>
      </c>
      <c r="E24" s="8">
        <f ca="1"/>
        <v>4</v>
      </c>
      <c r="F24" s="8">
        <f ca="1"/>
        <v>0</v>
      </c>
      <c r="G24" s="8">
        <f ca="1"/>
        <v>0</v>
      </c>
      <c r="J24" s="7">
        <v>0.40625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>
        <f t="shared" si="1"/>
        <v>0</v>
      </c>
      <c r="Q24" s="9">
        <v>1</v>
      </c>
      <c r="W24" s="7">
        <v>0.40625</v>
      </c>
      <c r="X24" s="10">
        <f t="shared" ca="1" si="0"/>
        <v>4</v>
      </c>
      <c r="Y24" s="10">
        <f t="shared" ca="1" si="0"/>
        <v>99</v>
      </c>
      <c r="Z24" s="10">
        <f t="shared" ca="1" si="0"/>
        <v>4</v>
      </c>
      <c r="AA24" s="10">
        <f t="shared" ca="1" si="0"/>
        <v>99</v>
      </c>
      <c r="AB24" s="10">
        <f t="shared" ca="1" si="0"/>
        <v>99</v>
      </c>
    </row>
    <row r="25" spans="1:35" x14ac:dyDescent="0.25">
      <c r="B25" s="7">
        <v>0.47916666666666669</v>
      </c>
      <c r="C25" s="8">
        <f ca="1"/>
        <v>0</v>
      </c>
      <c r="D25" s="8">
        <f ca="1"/>
        <v>0</v>
      </c>
      <c r="E25" s="8">
        <f ca="1"/>
        <v>5</v>
      </c>
      <c r="F25" s="8">
        <f ca="1"/>
        <v>1</v>
      </c>
      <c r="G25" s="8">
        <f ca="1"/>
        <v>0</v>
      </c>
      <c r="J25" s="7">
        <v>0.47916666666666669</v>
      </c>
      <c r="K25" s="15">
        <v>0</v>
      </c>
      <c r="L25" s="15">
        <v>0</v>
      </c>
      <c r="M25" s="15">
        <v>0</v>
      </c>
      <c r="N25" s="15">
        <v>1</v>
      </c>
      <c r="O25" s="15">
        <v>0</v>
      </c>
      <c r="P25">
        <f t="shared" si="1"/>
        <v>1</v>
      </c>
      <c r="Q25" s="9">
        <v>1</v>
      </c>
      <c r="W25" s="7">
        <v>0.47916666666666669</v>
      </c>
      <c r="X25" s="10">
        <f t="shared" ca="1" si="0"/>
        <v>99</v>
      </c>
      <c r="Y25" s="10">
        <f t="shared" ca="1" si="0"/>
        <v>99</v>
      </c>
      <c r="Z25" s="10">
        <f t="shared" ca="1" si="0"/>
        <v>5</v>
      </c>
      <c r="AA25" s="10">
        <f t="shared" ca="1" si="0"/>
        <v>1</v>
      </c>
      <c r="AB25" s="10">
        <f t="shared" ca="1" si="0"/>
        <v>99</v>
      </c>
      <c r="AF25">
        <v>6</v>
      </c>
      <c r="AG25">
        <v>6</v>
      </c>
      <c r="AH25">
        <v>6</v>
      </c>
      <c r="AI25">
        <v>6</v>
      </c>
    </row>
    <row r="26" spans="1:35" x14ac:dyDescent="0.25">
      <c r="B26" s="7">
        <v>0.55208333333333304</v>
      </c>
      <c r="C26" s="8">
        <f ca="1"/>
        <v>0</v>
      </c>
      <c r="D26" s="8">
        <f ca="1"/>
        <v>8</v>
      </c>
      <c r="E26" s="8">
        <f ca="1"/>
        <v>3</v>
      </c>
      <c r="F26" s="8">
        <f ca="1"/>
        <v>10</v>
      </c>
      <c r="G26" s="8">
        <f ca="1"/>
        <v>1</v>
      </c>
      <c r="J26" s="7">
        <v>0.55208333333333304</v>
      </c>
      <c r="K26" s="15">
        <v>0</v>
      </c>
      <c r="L26" s="15">
        <v>0</v>
      </c>
      <c r="M26" s="15">
        <v>1</v>
      </c>
      <c r="N26" s="15">
        <v>0</v>
      </c>
      <c r="O26" s="15">
        <v>0</v>
      </c>
      <c r="P26">
        <f t="shared" si="1"/>
        <v>1</v>
      </c>
      <c r="Q26" s="9">
        <v>1</v>
      </c>
      <c r="W26" s="7">
        <v>0.55208333333333304</v>
      </c>
      <c r="X26" s="10">
        <f t="shared" ca="1" si="0"/>
        <v>99</v>
      </c>
      <c r="Y26" s="10">
        <f t="shared" ca="1" si="0"/>
        <v>8</v>
      </c>
      <c r="Z26" s="10">
        <f t="shared" ca="1" si="0"/>
        <v>3</v>
      </c>
      <c r="AA26" s="10">
        <f t="shared" ca="1" si="0"/>
        <v>10</v>
      </c>
      <c r="AB26" s="10">
        <f t="shared" ca="1" si="0"/>
        <v>1</v>
      </c>
    </row>
    <row r="27" spans="1:35" x14ac:dyDescent="0.25">
      <c r="B27" s="7">
        <v>0.625</v>
      </c>
      <c r="C27" s="8">
        <f ca="1"/>
        <v>6</v>
      </c>
      <c r="D27" s="8">
        <f ca="1"/>
        <v>5</v>
      </c>
      <c r="E27" s="8">
        <f ca="1"/>
        <v>0</v>
      </c>
      <c r="F27" s="8">
        <f ca="1"/>
        <v>7</v>
      </c>
      <c r="G27" s="8">
        <f ca="1"/>
        <v>1</v>
      </c>
      <c r="J27" s="7">
        <v>0.625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>
        <f t="shared" si="1"/>
        <v>0</v>
      </c>
      <c r="Q27" s="9">
        <v>1</v>
      </c>
      <c r="W27" s="7">
        <v>0.625</v>
      </c>
      <c r="X27" s="10">
        <f t="shared" ca="1" si="0"/>
        <v>6</v>
      </c>
      <c r="Y27" s="10">
        <f t="shared" ca="1" si="0"/>
        <v>5</v>
      </c>
      <c r="Z27" s="10">
        <f t="shared" ca="1" si="0"/>
        <v>99</v>
      </c>
      <c r="AA27" s="10">
        <f t="shared" ca="1" si="0"/>
        <v>7</v>
      </c>
      <c r="AB27" s="10">
        <f t="shared" ca="1" si="0"/>
        <v>1</v>
      </c>
    </row>
    <row r="28" spans="1:35" x14ac:dyDescent="0.25">
      <c r="B28" s="7">
        <v>0.69791666666666696</v>
      </c>
      <c r="C28" s="8">
        <f ca="1"/>
        <v>3</v>
      </c>
      <c r="D28" s="8">
        <f ca="1"/>
        <v>9</v>
      </c>
      <c r="E28" s="8">
        <f ca="1"/>
        <v>8</v>
      </c>
      <c r="F28" s="8">
        <f ca="1"/>
        <v>4</v>
      </c>
      <c r="G28" s="8">
        <f ca="1"/>
        <v>1</v>
      </c>
      <c r="J28" s="7">
        <v>0.69791666666666696</v>
      </c>
      <c r="K28" s="15">
        <v>1</v>
      </c>
      <c r="L28" s="15">
        <v>0</v>
      </c>
      <c r="M28" s="15">
        <v>0</v>
      </c>
      <c r="N28" s="15">
        <v>0</v>
      </c>
      <c r="O28" s="15">
        <v>0</v>
      </c>
      <c r="P28">
        <f t="shared" si="1"/>
        <v>1</v>
      </c>
      <c r="Q28" s="9">
        <v>1</v>
      </c>
      <c r="W28" s="7">
        <v>0.69791666666666696</v>
      </c>
      <c r="X28" s="10">
        <f t="shared" ca="1" si="0"/>
        <v>3</v>
      </c>
      <c r="Y28" s="10">
        <f t="shared" ca="1" si="0"/>
        <v>9</v>
      </c>
      <c r="Z28" s="10">
        <f t="shared" ca="1" si="0"/>
        <v>8</v>
      </c>
      <c r="AA28" s="10">
        <f t="shared" ca="1" si="0"/>
        <v>4</v>
      </c>
      <c r="AB28" s="10">
        <f t="shared" ca="1" si="0"/>
        <v>1</v>
      </c>
    </row>
    <row r="29" spans="1:35" x14ac:dyDescent="0.25">
      <c r="A29" t="s">
        <v>21</v>
      </c>
      <c r="B29" s="7">
        <v>0.33333333333333331</v>
      </c>
      <c r="C29" s="8">
        <f ca="1"/>
        <v>0</v>
      </c>
      <c r="D29" s="8">
        <f ca="1"/>
        <v>0</v>
      </c>
      <c r="E29" s="8">
        <f ca="1"/>
        <v>0</v>
      </c>
      <c r="F29" s="8">
        <f ca="1"/>
        <v>5</v>
      </c>
      <c r="G29" s="8">
        <f ca="1"/>
        <v>1</v>
      </c>
      <c r="I29" t="s">
        <v>21</v>
      </c>
      <c r="J29" s="7">
        <v>0.33333333333333331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>
        <f t="shared" si="1"/>
        <v>0</v>
      </c>
      <c r="Q29" s="9">
        <v>1</v>
      </c>
      <c r="V29" t="s">
        <v>21</v>
      </c>
      <c r="W29" s="7">
        <v>0.33333333333333331</v>
      </c>
      <c r="X29" s="10">
        <f t="shared" ca="1" si="0"/>
        <v>99</v>
      </c>
      <c r="Y29" s="10">
        <f t="shared" ca="1" si="0"/>
        <v>99</v>
      </c>
      <c r="Z29" s="10">
        <f t="shared" ca="1" si="0"/>
        <v>99</v>
      </c>
      <c r="AA29" s="10">
        <f t="shared" ca="1" si="0"/>
        <v>5</v>
      </c>
      <c r="AB29" s="10">
        <f t="shared" ca="1" si="0"/>
        <v>1</v>
      </c>
    </row>
    <row r="30" spans="1:35" x14ac:dyDescent="0.25">
      <c r="B30" s="7">
        <v>0.40625</v>
      </c>
      <c r="C30" s="8">
        <f ca="1"/>
        <v>0</v>
      </c>
      <c r="D30" s="8">
        <f ca="1"/>
        <v>2</v>
      </c>
      <c r="E30" s="8">
        <f ca="1"/>
        <v>0</v>
      </c>
      <c r="F30" s="8">
        <f ca="1"/>
        <v>8</v>
      </c>
      <c r="G30" s="8">
        <f ca="1"/>
        <v>1</v>
      </c>
      <c r="J30" s="7">
        <v>0.40625</v>
      </c>
      <c r="K30" s="15">
        <v>0</v>
      </c>
      <c r="L30" s="15">
        <v>1</v>
      </c>
      <c r="M30" s="15">
        <v>0</v>
      </c>
      <c r="N30" s="15">
        <v>0</v>
      </c>
      <c r="O30" s="15">
        <v>0</v>
      </c>
      <c r="P30">
        <f t="shared" si="1"/>
        <v>1</v>
      </c>
      <c r="Q30" s="9">
        <v>1</v>
      </c>
      <c r="W30" s="7">
        <v>0.40625</v>
      </c>
      <c r="X30" s="10">
        <f t="shared" ca="1" si="0"/>
        <v>99</v>
      </c>
      <c r="Y30" s="10">
        <f t="shared" ca="1" si="0"/>
        <v>2</v>
      </c>
      <c r="Z30" s="10">
        <f t="shared" ca="1" si="0"/>
        <v>99</v>
      </c>
      <c r="AA30" s="10">
        <f t="shared" ca="1" si="0"/>
        <v>8</v>
      </c>
      <c r="AB30" s="10">
        <f t="shared" ca="1" si="0"/>
        <v>1</v>
      </c>
    </row>
    <row r="31" spans="1:35" x14ac:dyDescent="0.25">
      <c r="B31" s="7">
        <v>0.47916666666666669</v>
      </c>
      <c r="C31" s="8">
        <f ca="1"/>
        <v>0</v>
      </c>
      <c r="D31" s="8">
        <f ca="1"/>
        <v>0</v>
      </c>
      <c r="E31" s="8">
        <f ca="1"/>
        <v>6</v>
      </c>
      <c r="F31" s="8">
        <f ca="1"/>
        <v>0</v>
      </c>
      <c r="G31" s="8">
        <f ca="1"/>
        <v>0</v>
      </c>
      <c r="J31" s="7">
        <v>0.47916666666666669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>
        <f t="shared" si="1"/>
        <v>0</v>
      </c>
      <c r="Q31" s="9">
        <v>1</v>
      </c>
      <c r="W31" s="7">
        <v>0.47916666666666669</v>
      </c>
      <c r="X31" s="10">
        <f t="shared" ca="1" si="0"/>
        <v>99</v>
      </c>
      <c r="Y31" s="10">
        <f t="shared" ca="1" si="0"/>
        <v>99</v>
      </c>
      <c r="Z31" s="10">
        <f t="shared" ca="1" si="0"/>
        <v>6</v>
      </c>
      <c r="AA31" s="10">
        <f t="shared" ca="1" si="0"/>
        <v>99</v>
      </c>
      <c r="AB31" s="10">
        <f t="shared" ca="1" si="0"/>
        <v>99</v>
      </c>
    </row>
    <row r="32" spans="1:35" x14ac:dyDescent="0.25">
      <c r="B32" s="7">
        <v>0.55208333333333304</v>
      </c>
      <c r="C32" s="8">
        <f ca="1"/>
        <v>0</v>
      </c>
      <c r="D32" s="8">
        <f ca="1"/>
        <v>0</v>
      </c>
      <c r="E32" s="8">
        <f ca="1"/>
        <v>0</v>
      </c>
      <c r="F32" s="8">
        <f ca="1"/>
        <v>0</v>
      </c>
      <c r="G32" s="8">
        <f ca="1"/>
        <v>0</v>
      </c>
      <c r="J32" s="7">
        <v>0.55208333333333304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>
        <f t="shared" si="1"/>
        <v>0</v>
      </c>
      <c r="Q32" s="9">
        <v>1</v>
      </c>
      <c r="W32" s="7">
        <v>0.55208333333333304</v>
      </c>
      <c r="X32" s="10">
        <f t="shared" ca="1" si="0"/>
        <v>99</v>
      </c>
      <c r="Y32" s="10">
        <f t="shared" ca="1" si="0"/>
        <v>99</v>
      </c>
      <c r="Z32" s="10">
        <f t="shared" ca="1" si="0"/>
        <v>99</v>
      </c>
      <c r="AA32" s="10">
        <f t="shared" ca="1" si="0"/>
        <v>99</v>
      </c>
      <c r="AB32" s="10">
        <f t="shared" ca="1" si="0"/>
        <v>99</v>
      </c>
    </row>
    <row r="33" spans="1:33" x14ac:dyDescent="0.25">
      <c r="B33" s="7">
        <v>0.625</v>
      </c>
      <c r="C33" s="8">
        <f ca="1"/>
        <v>9</v>
      </c>
      <c r="D33" s="8">
        <f ca="1"/>
        <v>0</v>
      </c>
      <c r="E33" s="8">
        <f ca="1"/>
        <v>0</v>
      </c>
      <c r="F33" s="8">
        <f ca="1"/>
        <v>3</v>
      </c>
      <c r="G33" s="8">
        <f ca="1"/>
        <v>1</v>
      </c>
      <c r="J33" s="7">
        <v>0.625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>
        <f t="shared" si="1"/>
        <v>0</v>
      </c>
      <c r="Q33" s="9">
        <v>1</v>
      </c>
      <c r="W33" s="7">
        <v>0.625</v>
      </c>
      <c r="X33" s="10">
        <f t="shared" ca="1" si="0"/>
        <v>9</v>
      </c>
      <c r="Y33" s="10">
        <f t="shared" ca="1" si="0"/>
        <v>99</v>
      </c>
      <c r="Z33" s="10">
        <f t="shared" ca="1" si="0"/>
        <v>99</v>
      </c>
      <c r="AA33" s="10">
        <f t="shared" ca="1" si="0"/>
        <v>3</v>
      </c>
      <c r="AB33" s="10">
        <f t="shared" ca="1" si="0"/>
        <v>1</v>
      </c>
    </row>
    <row r="34" spans="1:33" x14ac:dyDescent="0.25">
      <c r="B34" s="7">
        <v>0.69791666666666696</v>
      </c>
      <c r="C34" s="8">
        <f ca="1"/>
        <v>0</v>
      </c>
      <c r="D34" s="8">
        <f ca="1"/>
        <v>0</v>
      </c>
      <c r="E34" s="8">
        <f ca="1"/>
        <v>10</v>
      </c>
      <c r="F34" s="8">
        <f ca="1"/>
        <v>0</v>
      </c>
      <c r="G34" s="8">
        <f ca="1"/>
        <v>1</v>
      </c>
      <c r="J34" s="7">
        <v>0.69791666666666696</v>
      </c>
      <c r="K34" s="15">
        <v>0</v>
      </c>
      <c r="L34" s="15">
        <v>0</v>
      </c>
      <c r="M34" s="15">
        <v>0</v>
      </c>
      <c r="N34" s="15">
        <v>0</v>
      </c>
      <c r="O34" s="15">
        <v>1</v>
      </c>
      <c r="P34">
        <f t="shared" si="1"/>
        <v>1</v>
      </c>
      <c r="Q34" s="9">
        <v>1</v>
      </c>
      <c r="W34" s="7">
        <v>0.69791666666666696</v>
      </c>
      <c r="X34" s="10">
        <f t="shared" ca="1" si="0"/>
        <v>99</v>
      </c>
      <c r="Y34" s="10">
        <f t="shared" ca="1" si="0"/>
        <v>99</v>
      </c>
      <c r="Z34" s="10">
        <f t="shared" ca="1" si="0"/>
        <v>10</v>
      </c>
      <c r="AA34" s="10">
        <f t="shared" ca="1" si="0"/>
        <v>99</v>
      </c>
      <c r="AB34" s="10">
        <f t="shared" ca="1" si="0"/>
        <v>1</v>
      </c>
    </row>
    <row r="35" spans="1:33" x14ac:dyDescent="0.25">
      <c r="K35">
        <f>SUM(K11:K34)</f>
        <v>2</v>
      </c>
      <c r="L35">
        <f t="shared" ref="L35:O35" si="2">SUM(L11:L34)</f>
        <v>2</v>
      </c>
      <c r="M35">
        <f t="shared" si="2"/>
        <v>2</v>
      </c>
      <c r="N35">
        <f t="shared" si="2"/>
        <v>2</v>
      </c>
      <c r="O35">
        <f t="shared" si="2"/>
        <v>2</v>
      </c>
      <c r="P35" t="s">
        <v>22</v>
      </c>
      <c r="Q35" s="11">
        <f ca="1">SUMPRODUCT(K11:N34,X11:AA34)</f>
        <v>15</v>
      </c>
    </row>
    <row r="36" spans="1:33" x14ac:dyDescent="0.25">
      <c r="K36" t="s">
        <v>23</v>
      </c>
      <c r="L36" t="s">
        <v>23</v>
      </c>
      <c r="M36" t="s">
        <v>23</v>
      </c>
      <c r="N36" t="s">
        <v>23</v>
      </c>
      <c r="O36" t="s">
        <v>23</v>
      </c>
    </row>
    <row r="37" spans="1:33" x14ac:dyDescent="0.25">
      <c r="B37" s="12" t="s">
        <v>24</v>
      </c>
      <c r="K37">
        <v>2</v>
      </c>
      <c r="L37">
        <v>2</v>
      </c>
      <c r="M37">
        <v>2</v>
      </c>
      <c r="N37">
        <v>2</v>
      </c>
      <c r="O37">
        <v>2</v>
      </c>
    </row>
    <row r="38" spans="1:33" x14ac:dyDescent="0.25">
      <c r="C38" t="s">
        <v>25</v>
      </c>
      <c r="D38" t="s">
        <v>26</v>
      </c>
      <c r="E38" t="s">
        <v>27</v>
      </c>
      <c r="F38" t="s">
        <v>28</v>
      </c>
      <c r="G38" t="s">
        <v>29</v>
      </c>
      <c r="H38" t="s">
        <v>30</v>
      </c>
      <c r="I38" t="s">
        <v>31</v>
      </c>
      <c r="J38" t="s">
        <v>32</v>
      </c>
      <c r="K38" t="s">
        <v>33</v>
      </c>
      <c r="L38" t="s">
        <v>34</v>
      </c>
      <c r="M38" t="s">
        <v>35</v>
      </c>
      <c r="N38" t="s">
        <v>36</v>
      </c>
      <c r="O38" t="s">
        <v>37</v>
      </c>
      <c r="P38" t="s">
        <v>38</v>
      </c>
      <c r="Q38" t="s">
        <v>39</v>
      </c>
      <c r="R38" t="s">
        <v>40</v>
      </c>
      <c r="S38" t="s">
        <v>41</v>
      </c>
      <c r="T38" t="s">
        <v>42</v>
      </c>
      <c r="U38" t="s">
        <v>43</v>
      </c>
      <c r="V38" t="s">
        <v>44</v>
      </c>
      <c r="W38" t="s">
        <v>45</v>
      </c>
      <c r="X38" t="s">
        <v>46</v>
      </c>
      <c r="Y38" t="s">
        <v>47</v>
      </c>
      <c r="Z38" t="s">
        <v>48</v>
      </c>
      <c r="AA38" t="s">
        <v>49</v>
      </c>
      <c r="AB38" t="s">
        <v>50</v>
      </c>
      <c r="AC38" t="s">
        <v>51</v>
      </c>
      <c r="AD38" t="s">
        <v>52</v>
      </c>
      <c r="AE38" t="s">
        <v>53</v>
      </c>
      <c r="AF38" t="s">
        <v>54</v>
      </c>
    </row>
    <row r="39" spans="1:33" x14ac:dyDescent="0.25">
      <c r="A39" t="s">
        <v>18</v>
      </c>
      <c r="B39" s="7">
        <v>0.33333333333333331</v>
      </c>
      <c r="C39" s="8" cm="1">
        <f t="array" aca="1" ref="C39:AF62" ca="1">INDIRECT(INDEX('Class list and cell link'!C2:C4,'Class list and cell link'!D1))</f>
        <v>0</v>
      </c>
      <c r="D39" s="8">
        <f ca="1"/>
        <v>0</v>
      </c>
      <c r="E39" s="8">
        <f ca="1"/>
        <v>0</v>
      </c>
      <c r="F39" s="8">
        <f ca="1"/>
        <v>1</v>
      </c>
      <c r="G39" s="8">
        <f ca="1"/>
        <v>0</v>
      </c>
      <c r="H39" s="8">
        <f ca="1"/>
        <v>1</v>
      </c>
      <c r="I39" s="8">
        <f ca="1"/>
        <v>0</v>
      </c>
      <c r="J39" s="8">
        <f ca="1"/>
        <v>0</v>
      </c>
      <c r="K39" s="8">
        <f ca="1"/>
        <v>1</v>
      </c>
      <c r="L39" s="8">
        <f ca="1"/>
        <v>0</v>
      </c>
      <c r="M39" s="8">
        <f ca="1"/>
        <v>1</v>
      </c>
      <c r="N39" s="8">
        <f ca="1"/>
        <v>0</v>
      </c>
      <c r="O39" s="8">
        <f ca="1"/>
        <v>0</v>
      </c>
      <c r="P39" s="8">
        <f ca="1"/>
        <v>1</v>
      </c>
      <c r="Q39" s="8">
        <f ca="1"/>
        <v>1</v>
      </c>
      <c r="R39" s="8">
        <f ca="1"/>
        <v>0</v>
      </c>
      <c r="S39" s="8">
        <f ca="1"/>
        <v>0</v>
      </c>
      <c r="T39" s="8">
        <f ca="1"/>
        <v>1</v>
      </c>
      <c r="U39" s="8">
        <f ca="1"/>
        <v>0</v>
      </c>
      <c r="V39" s="8">
        <f ca="1"/>
        <v>1</v>
      </c>
      <c r="W39" s="8">
        <f ca="1"/>
        <v>0</v>
      </c>
      <c r="X39" s="8">
        <f ca="1"/>
        <v>0</v>
      </c>
      <c r="Y39" s="8">
        <f ca="1"/>
        <v>1</v>
      </c>
      <c r="Z39" s="8">
        <f ca="1"/>
        <v>0</v>
      </c>
      <c r="AA39" s="8">
        <f ca="1"/>
        <v>1</v>
      </c>
      <c r="AB39" s="8">
        <f ca="1"/>
        <v>1</v>
      </c>
      <c r="AC39" s="8">
        <f ca="1"/>
        <v>0</v>
      </c>
      <c r="AD39" s="8">
        <f ca="1"/>
        <v>0</v>
      </c>
      <c r="AE39" s="8">
        <f ca="1"/>
        <v>1</v>
      </c>
      <c r="AF39" s="8">
        <f ca="1"/>
        <v>1</v>
      </c>
      <c r="AG39">
        <f ca="1">SUM(C39:AF39)</f>
        <v>13</v>
      </c>
    </row>
    <row r="40" spans="1:33" x14ac:dyDescent="0.25">
      <c r="B40" s="7">
        <v>0.40625</v>
      </c>
      <c r="C40" s="8">
        <f ca="1"/>
        <v>1</v>
      </c>
      <c r="D40" s="8">
        <f ca="1"/>
        <v>1</v>
      </c>
      <c r="E40" s="8">
        <f ca="1"/>
        <v>0</v>
      </c>
      <c r="F40" s="8">
        <f ca="1"/>
        <v>0</v>
      </c>
      <c r="G40" s="8">
        <f ca="1"/>
        <v>0</v>
      </c>
      <c r="H40" s="8">
        <f ca="1"/>
        <v>0</v>
      </c>
      <c r="I40" s="8">
        <f ca="1"/>
        <v>1</v>
      </c>
      <c r="J40" s="8">
        <f ca="1"/>
        <v>0</v>
      </c>
      <c r="K40" s="8">
        <f ca="1"/>
        <v>1</v>
      </c>
      <c r="L40" s="8">
        <f ca="1"/>
        <v>0</v>
      </c>
      <c r="M40" s="8">
        <f ca="1"/>
        <v>1</v>
      </c>
      <c r="N40" s="8">
        <f ca="1"/>
        <v>0</v>
      </c>
      <c r="O40" s="8">
        <f ca="1"/>
        <v>1</v>
      </c>
      <c r="P40" s="8">
        <f ca="1"/>
        <v>0</v>
      </c>
      <c r="Q40" s="8">
        <f ca="1"/>
        <v>0</v>
      </c>
      <c r="R40" s="8">
        <f ca="1"/>
        <v>0</v>
      </c>
      <c r="S40" s="8">
        <f ca="1"/>
        <v>0</v>
      </c>
      <c r="T40" s="8">
        <f ca="1"/>
        <v>0</v>
      </c>
      <c r="U40" s="8">
        <f ca="1"/>
        <v>1</v>
      </c>
      <c r="V40" s="8">
        <f ca="1"/>
        <v>0</v>
      </c>
      <c r="W40" s="8">
        <f ca="1"/>
        <v>0</v>
      </c>
      <c r="X40" s="8">
        <f ca="1"/>
        <v>1</v>
      </c>
      <c r="Y40" s="8">
        <f ca="1"/>
        <v>1</v>
      </c>
      <c r="Z40" s="8">
        <f ca="1"/>
        <v>0</v>
      </c>
      <c r="AA40" s="8">
        <f ca="1"/>
        <v>0</v>
      </c>
      <c r="AB40" s="8">
        <f ca="1"/>
        <v>0</v>
      </c>
      <c r="AC40" s="8">
        <f ca="1"/>
        <v>1</v>
      </c>
      <c r="AD40" s="8">
        <f ca="1"/>
        <v>1</v>
      </c>
      <c r="AE40" s="8">
        <f ca="1"/>
        <v>0</v>
      </c>
      <c r="AF40" s="8">
        <f ca="1"/>
        <v>1</v>
      </c>
      <c r="AG40">
        <f t="shared" ref="AG40:AG62" ca="1" si="3">SUM(C40:AF40)</f>
        <v>12</v>
      </c>
    </row>
    <row r="41" spans="1:33" x14ac:dyDescent="0.25">
      <c r="B41" s="7">
        <v>0.47916666666666669</v>
      </c>
      <c r="C41" s="8">
        <f ca="1"/>
        <v>1</v>
      </c>
      <c r="D41" s="8">
        <f ca="1"/>
        <v>0</v>
      </c>
      <c r="E41" s="8">
        <f ca="1"/>
        <v>0</v>
      </c>
      <c r="F41" s="8">
        <f ca="1"/>
        <v>0</v>
      </c>
      <c r="G41" s="8">
        <f ca="1"/>
        <v>1</v>
      </c>
      <c r="H41" s="8">
        <f ca="1"/>
        <v>1</v>
      </c>
      <c r="I41" s="8">
        <f ca="1"/>
        <v>0</v>
      </c>
      <c r="J41" s="8">
        <f ca="1"/>
        <v>0</v>
      </c>
      <c r="K41" s="8">
        <f ca="1"/>
        <v>0</v>
      </c>
      <c r="L41" s="8">
        <f ca="1"/>
        <v>1</v>
      </c>
      <c r="M41" s="8">
        <f ca="1"/>
        <v>0</v>
      </c>
      <c r="N41" s="8">
        <f ca="1"/>
        <v>1</v>
      </c>
      <c r="O41" s="8">
        <f ca="1"/>
        <v>0</v>
      </c>
      <c r="P41" s="8">
        <f ca="1"/>
        <v>1</v>
      </c>
      <c r="Q41" s="8">
        <f ca="1"/>
        <v>0</v>
      </c>
      <c r="R41" s="8">
        <f ca="1"/>
        <v>1</v>
      </c>
      <c r="S41" s="8">
        <f ca="1"/>
        <v>1</v>
      </c>
      <c r="T41" s="8">
        <f ca="1"/>
        <v>0</v>
      </c>
      <c r="U41" s="8">
        <f ca="1"/>
        <v>0</v>
      </c>
      <c r="V41" s="8">
        <f ca="1"/>
        <v>0</v>
      </c>
      <c r="W41" s="8">
        <f ca="1"/>
        <v>1</v>
      </c>
      <c r="X41" s="8">
        <f ca="1"/>
        <v>1</v>
      </c>
      <c r="Y41" s="8">
        <f ca="1"/>
        <v>0</v>
      </c>
      <c r="Z41" s="8">
        <f ca="1"/>
        <v>0</v>
      </c>
      <c r="AA41" s="8">
        <f ca="1"/>
        <v>1</v>
      </c>
      <c r="AB41" s="8">
        <f ca="1"/>
        <v>1</v>
      </c>
      <c r="AC41" s="8">
        <f ca="1"/>
        <v>0</v>
      </c>
      <c r="AD41" s="8">
        <f ca="1"/>
        <v>0</v>
      </c>
      <c r="AE41" s="8">
        <f ca="1"/>
        <v>1</v>
      </c>
      <c r="AF41" s="8">
        <f ca="1"/>
        <v>1</v>
      </c>
      <c r="AG41">
        <f t="shared" ca="1" si="3"/>
        <v>14</v>
      </c>
    </row>
    <row r="42" spans="1:33" x14ac:dyDescent="0.25">
      <c r="B42" s="7">
        <v>0.55208333333333304</v>
      </c>
      <c r="C42" s="8">
        <f ca="1"/>
        <v>0</v>
      </c>
      <c r="D42" s="8">
        <f ca="1"/>
        <v>1</v>
      </c>
      <c r="E42" s="8">
        <f ca="1"/>
        <v>1</v>
      </c>
      <c r="F42" s="8">
        <f ca="1"/>
        <v>0</v>
      </c>
      <c r="G42" s="8">
        <f ca="1"/>
        <v>1</v>
      </c>
      <c r="H42" s="8">
        <f ca="1"/>
        <v>0</v>
      </c>
      <c r="I42" s="8">
        <f ca="1"/>
        <v>0</v>
      </c>
      <c r="J42" s="8">
        <f ca="1"/>
        <v>1</v>
      </c>
      <c r="K42" s="8">
        <f ca="1"/>
        <v>0</v>
      </c>
      <c r="L42" s="8">
        <f ca="1"/>
        <v>0</v>
      </c>
      <c r="M42" s="8">
        <f ca="1"/>
        <v>1</v>
      </c>
      <c r="N42" s="8">
        <f ca="1"/>
        <v>0</v>
      </c>
      <c r="O42" s="8">
        <f ca="1"/>
        <v>1</v>
      </c>
      <c r="P42" s="8">
        <f ca="1"/>
        <v>0</v>
      </c>
      <c r="Q42" s="8">
        <f ca="1"/>
        <v>0</v>
      </c>
      <c r="R42" s="8">
        <f ca="1"/>
        <v>1</v>
      </c>
      <c r="S42" s="8">
        <f ca="1"/>
        <v>0</v>
      </c>
      <c r="T42" s="8">
        <f ca="1"/>
        <v>0</v>
      </c>
      <c r="U42" s="8">
        <f ca="1"/>
        <v>0</v>
      </c>
      <c r="V42" s="8">
        <f ca="1"/>
        <v>0</v>
      </c>
      <c r="W42" s="8">
        <f ca="1"/>
        <v>1</v>
      </c>
      <c r="X42" s="8">
        <f ca="1"/>
        <v>0</v>
      </c>
      <c r="Y42" s="8">
        <f ca="1"/>
        <v>0</v>
      </c>
      <c r="Z42" s="8">
        <f ca="1"/>
        <v>0</v>
      </c>
      <c r="AA42" s="8">
        <f ca="1"/>
        <v>0</v>
      </c>
      <c r="AB42" s="8">
        <f ca="1"/>
        <v>0</v>
      </c>
      <c r="AC42" s="8">
        <f ca="1"/>
        <v>0</v>
      </c>
      <c r="AD42" s="8">
        <f ca="1"/>
        <v>0</v>
      </c>
      <c r="AE42" s="8">
        <f ca="1"/>
        <v>0</v>
      </c>
      <c r="AF42" s="8">
        <f ca="1"/>
        <v>0</v>
      </c>
      <c r="AG42">
        <f t="shared" ca="1" si="3"/>
        <v>8</v>
      </c>
    </row>
    <row r="43" spans="1:33" x14ac:dyDescent="0.25">
      <c r="B43" s="7">
        <v>0.625</v>
      </c>
      <c r="C43" s="8">
        <f ca="1"/>
        <v>0</v>
      </c>
      <c r="D43" s="8">
        <f ca="1"/>
        <v>1</v>
      </c>
      <c r="E43" s="8">
        <f ca="1"/>
        <v>0</v>
      </c>
      <c r="F43" s="8">
        <f ca="1"/>
        <v>1</v>
      </c>
      <c r="G43" s="8">
        <f ca="1"/>
        <v>0</v>
      </c>
      <c r="H43" s="8">
        <f ca="1"/>
        <v>1</v>
      </c>
      <c r="I43" s="8">
        <f ca="1"/>
        <v>1</v>
      </c>
      <c r="J43" s="8">
        <f ca="1"/>
        <v>1</v>
      </c>
      <c r="K43" s="8">
        <f ca="1"/>
        <v>0</v>
      </c>
      <c r="L43" s="8">
        <f ca="1"/>
        <v>1</v>
      </c>
      <c r="M43" s="8">
        <f ca="1"/>
        <v>0</v>
      </c>
      <c r="N43" s="8">
        <f ca="1"/>
        <v>0</v>
      </c>
      <c r="O43" s="8">
        <f ca="1"/>
        <v>0</v>
      </c>
      <c r="P43" s="8">
        <f ca="1"/>
        <v>0</v>
      </c>
      <c r="Q43" s="8">
        <f ca="1"/>
        <v>0</v>
      </c>
      <c r="R43" s="8">
        <f ca="1"/>
        <v>0</v>
      </c>
      <c r="S43" s="8">
        <f ca="1"/>
        <v>1</v>
      </c>
      <c r="T43" s="8">
        <f ca="1"/>
        <v>1</v>
      </c>
      <c r="U43" s="8">
        <f ca="1"/>
        <v>1</v>
      </c>
      <c r="V43" s="8">
        <f ca="1"/>
        <v>0</v>
      </c>
      <c r="W43" s="8">
        <f ca="1"/>
        <v>0</v>
      </c>
      <c r="X43" s="8">
        <f ca="1"/>
        <v>1</v>
      </c>
      <c r="Y43" s="8">
        <f ca="1"/>
        <v>0</v>
      </c>
      <c r="Z43" s="8">
        <f ca="1"/>
        <v>1</v>
      </c>
      <c r="AA43" s="8">
        <f ca="1"/>
        <v>0</v>
      </c>
      <c r="AB43" s="8">
        <f ca="1"/>
        <v>1</v>
      </c>
      <c r="AC43" s="8">
        <f ca="1"/>
        <v>0</v>
      </c>
      <c r="AD43" s="8">
        <f ca="1"/>
        <v>1</v>
      </c>
      <c r="AE43" s="8">
        <f ca="1"/>
        <v>0</v>
      </c>
      <c r="AF43" s="8">
        <f ca="1"/>
        <v>0</v>
      </c>
      <c r="AG43">
        <f t="shared" ca="1" si="3"/>
        <v>13</v>
      </c>
    </row>
    <row r="44" spans="1:33" x14ac:dyDescent="0.25">
      <c r="B44" s="7">
        <v>0.69791666666666696</v>
      </c>
      <c r="C44" s="8">
        <f ca="1"/>
        <v>0</v>
      </c>
      <c r="D44" s="8">
        <f ca="1"/>
        <v>0</v>
      </c>
      <c r="E44" s="8">
        <f ca="1"/>
        <v>1</v>
      </c>
      <c r="F44" s="8">
        <f ca="1"/>
        <v>0</v>
      </c>
      <c r="G44" s="8">
        <f ca="1"/>
        <v>0</v>
      </c>
      <c r="H44" s="8">
        <f ca="1"/>
        <v>0</v>
      </c>
      <c r="I44" s="8">
        <f ca="1"/>
        <v>0</v>
      </c>
      <c r="J44" s="8">
        <f ca="1"/>
        <v>0</v>
      </c>
      <c r="K44" s="8">
        <f ca="1"/>
        <v>1</v>
      </c>
      <c r="L44" s="8">
        <f ca="1"/>
        <v>1</v>
      </c>
      <c r="M44" s="8">
        <f ca="1"/>
        <v>1</v>
      </c>
      <c r="N44" s="8">
        <f ca="1"/>
        <v>1</v>
      </c>
      <c r="O44" s="8">
        <f ca="1"/>
        <v>0</v>
      </c>
      <c r="P44" s="8">
        <f ca="1"/>
        <v>0</v>
      </c>
      <c r="Q44" s="8">
        <f ca="1"/>
        <v>1</v>
      </c>
      <c r="R44" s="8">
        <f ca="1"/>
        <v>0</v>
      </c>
      <c r="S44" s="8">
        <f ca="1"/>
        <v>1</v>
      </c>
      <c r="T44" s="8">
        <f ca="1"/>
        <v>0</v>
      </c>
      <c r="U44" s="8">
        <f ca="1"/>
        <v>1</v>
      </c>
      <c r="V44" s="8">
        <f ca="1"/>
        <v>0</v>
      </c>
      <c r="W44" s="8">
        <f ca="1"/>
        <v>1</v>
      </c>
      <c r="X44" s="8">
        <f ca="1"/>
        <v>0</v>
      </c>
      <c r="Y44" s="8">
        <f ca="1"/>
        <v>1</v>
      </c>
      <c r="Z44" s="8">
        <f ca="1"/>
        <v>0</v>
      </c>
      <c r="AA44" s="8">
        <f ca="1"/>
        <v>0</v>
      </c>
      <c r="AB44" s="8">
        <f ca="1"/>
        <v>1</v>
      </c>
      <c r="AC44" s="8">
        <f ca="1"/>
        <v>1</v>
      </c>
      <c r="AD44" s="8">
        <f ca="1"/>
        <v>0</v>
      </c>
      <c r="AE44" s="8">
        <f ca="1"/>
        <v>1</v>
      </c>
      <c r="AF44" s="8">
        <f ca="1"/>
        <v>1</v>
      </c>
      <c r="AG44">
        <f t="shared" ca="1" si="3"/>
        <v>14</v>
      </c>
    </row>
    <row r="45" spans="1:33" x14ac:dyDescent="0.25">
      <c r="A45" t="s">
        <v>19</v>
      </c>
      <c r="B45" s="7">
        <v>0.33333333333333331</v>
      </c>
      <c r="C45" s="8">
        <f ca="1"/>
        <v>0</v>
      </c>
      <c r="D45" s="8">
        <f ca="1"/>
        <v>0</v>
      </c>
      <c r="E45" s="8">
        <f ca="1"/>
        <v>1</v>
      </c>
      <c r="F45" s="8">
        <f ca="1"/>
        <v>1</v>
      </c>
      <c r="G45" s="8">
        <f ca="1"/>
        <v>0</v>
      </c>
      <c r="H45" s="8">
        <f ca="1"/>
        <v>0</v>
      </c>
      <c r="I45" s="8">
        <f ca="1"/>
        <v>0</v>
      </c>
      <c r="J45" s="8">
        <f ca="1"/>
        <v>0</v>
      </c>
      <c r="K45" s="8">
        <f ca="1"/>
        <v>1</v>
      </c>
      <c r="L45" s="8">
        <f ca="1"/>
        <v>1</v>
      </c>
      <c r="M45" s="8">
        <f ca="1"/>
        <v>0</v>
      </c>
      <c r="N45" s="8">
        <f ca="1"/>
        <v>1</v>
      </c>
      <c r="O45" s="8">
        <f ca="1"/>
        <v>0</v>
      </c>
      <c r="P45" s="8">
        <f ca="1"/>
        <v>1</v>
      </c>
      <c r="Q45" s="8">
        <f ca="1"/>
        <v>1</v>
      </c>
      <c r="R45" s="8">
        <f ca="1"/>
        <v>1</v>
      </c>
      <c r="S45" s="8">
        <f ca="1"/>
        <v>0</v>
      </c>
      <c r="T45" s="8">
        <f ca="1"/>
        <v>0</v>
      </c>
      <c r="U45" s="8">
        <f ca="1"/>
        <v>0</v>
      </c>
      <c r="V45" s="8">
        <f ca="1"/>
        <v>1</v>
      </c>
      <c r="W45" s="8">
        <f ca="1"/>
        <v>0</v>
      </c>
      <c r="X45" s="8">
        <f ca="1"/>
        <v>1</v>
      </c>
      <c r="Y45" s="8">
        <f ca="1"/>
        <v>1</v>
      </c>
      <c r="Z45" s="8">
        <f ca="1"/>
        <v>1</v>
      </c>
      <c r="AA45" s="8">
        <f ca="1"/>
        <v>1</v>
      </c>
      <c r="AB45" s="8">
        <f ca="1"/>
        <v>1</v>
      </c>
      <c r="AC45" s="8">
        <f ca="1"/>
        <v>1</v>
      </c>
      <c r="AD45" s="8">
        <f ca="1"/>
        <v>0</v>
      </c>
      <c r="AE45" s="8">
        <f ca="1"/>
        <v>1</v>
      </c>
      <c r="AF45" s="8">
        <f ca="1"/>
        <v>0</v>
      </c>
      <c r="AG45">
        <f t="shared" ca="1" si="3"/>
        <v>16</v>
      </c>
    </row>
    <row r="46" spans="1:33" x14ac:dyDescent="0.25">
      <c r="B46" s="7">
        <v>0.40625</v>
      </c>
      <c r="C46" s="8">
        <f ca="1"/>
        <v>0</v>
      </c>
      <c r="D46" s="8">
        <f ca="1"/>
        <v>0</v>
      </c>
      <c r="E46" s="8">
        <f ca="1"/>
        <v>1</v>
      </c>
      <c r="F46" s="8">
        <f ca="1"/>
        <v>1</v>
      </c>
      <c r="G46" s="8">
        <f ca="1"/>
        <v>0</v>
      </c>
      <c r="H46" s="8">
        <f ca="1"/>
        <v>0</v>
      </c>
      <c r="I46" s="8">
        <f ca="1"/>
        <v>0</v>
      </c>
      <c r="J46" s="8">
        <f ca="1"/>
        <v>1</v>
      </c>
      <c r="K46" s="8">
        <f ca="1"/>
        <v>0</v>
      </c>
      <c r="L46" s="8">
        <f ca="1"/>
        <v>0</v>
      </c>
      <c r="M46" s="8">
        <f ca="1"/>
        <v>0</v>
      </c>
      <c r="N46" s="8">
        <f ca="1"/>
        <v>0</v>
      </c>
      <c r="O46" s="8">
        <f ca="1"/>
        <v>0</v>
      </c>
      <c r="P46" s="8">
        <f ca="1"/>
        <v>1</v>
      </c>
      <c r="Q46" s="8">
        <f ca="1"/>
        <v>1</v>
      </c>
      <c r="R46" s="8">
        <f ca="1"/>
        <v>0</v>
      </c>
      <c r="S46" s="8">
        <f ca="1"/>
        <v>1</v>
      </c>
      <c r="T46" s="8">
        <f ca="1"/>
        <v>0</v>
      </c>
      <c r="U46" s="8">
        <f ca="1"/>
        <v>0</v>
      </c>
      <c r="V46" s="8">
        <f ca="1"/>
        <v>1</v>
      </c>
      <c r="W46" s="8">
        <f ca="1"/>
        <v>0</v>
      </c>
      <c r="X46" s="8">
        <f ca="1"/>
        <v>1</v>
      </c>
      <c r="Y46" s="8">
        <f ca="1"/>
        <v>0</v>
      </c>
      <c r="Z46" s="8">
        <f ca="1"/>
        <v>0</v>
      </c>
      <c r="AA46" s="8">
        <f ca="1"/>
        <v>1</v>
      </c>
      <c r="AB46" s="8">
        <f ca="1"/>
        <v>0</v>
      </c>
      <c r="AC46" s="8">
        <f ca="1"/>
        <v>0</v>
      </c>
      <c r="AD46" s="8">
        <f ca="1"/>
        <v>1</v>
      </c>
      <c r="AE46" s="8">
        <f ca="1"/>
        <v>0</v>
      </c>
      <c r="AF46" s="8">
        <f ca="1"/>
        <v>1</v>
      </c>
      <c r="AG46">
        <f t="shared" ca="1" si="3"/>
        <v>11</v>
      </c>
    </row>
    <row r="47" spans="1:33" x14ac:dyDescent="0.25">
      <c r="B47" s="7">
        <v>0.47916666666666669</v>
      </c>
      <c r="C47" s="8">
        <f ca="1"/>
        <v>0</v>
      </c>
      <c r="D47" s="8">
        <f ca="1"/>
        <v>0</v>
      </c>
      <c r="E47" s="8">
        <f ca="1"/>
        <v>0</v>
      </c>
      <c r="F47" s="8">
        <f ca="1"/>
        <v>0</v>
      </c>
      <c r="G47" s="8">
        <f ca="1"/>
        <v>1</v>
      </c>
      <c r="H47" s="8">
        <f ca="1"/>
        <v>0</v>
      </c>
      <c r="I47" s="8">
        <f ca="1"/>
        <v>0</v>
      </c>
      <c r="J47" s="8">
        <f ca="1"/>
        <v>0</v>
      </c>
      <c r="K47" s="8">
        <f ca="1"/>
        <v>0</v>
      </c>
      <c r="L47" s="8">
        <f ca="1"/>
        <v>0</v>
      </c>
      <c r="M47" s="8">
        <f ca="1"/>
        <v>0</v>
      </c>
      <c r="N47" s="8">
        <f ca="1"/>
        <v>0</v>
      </c>
      <c r="O47" s="8">
        <f ca="1"/>
        <v>0</v>
      </c>
      <c r="P47" s="8">
        <f ca="1"/>
        <v>0</v>
      </c>
      <c r="Q47" s="8">
        <f ca="1"/>
        <v>1</v>
      </c>
      <c r="R47" s="8">
        <f ca="1"/>
        <v>0</v>
      </c>
      <c r="S47" s="8">
        <f ca="1"/>
        <v>1</v>
      </c>
      <c r="T47" s="8">
        <f ca="1"/>
        <v>1</v>
      </c>
      <c r="U47" s="8">
        <f ca="1"/>
        <v>0</v>
      </c>
      <c r="V47" s="8">
        <f ca="1"/>
        <v>0</v>
      </c>
      <c r="W47" s="8">
        <f ca="1"/>
        <v>1</v>
      </c>
      <c r="X47" s="8">
        <f ca="1"/>
        <v>0</v>
      </c>
      <c r="Y47" s="8">
        <f ca="1"/>
        <v>0</v>
      </c>
      <c r="Z47" s="8">
        <f ca="1"/>
        <v>0</v>
      </c>
      <c r="AA47" s="8">
        <f ca="1"/>
        <v>0</v>
      </c>
      <c r="AB47" s="8">
        <f ca="1"/>
        <v>0</v>
      </c>
      <c r="AC47" s="8">
        <f ca="1"/>
        <v>0</v>
      </c>
      <c r="AD47" s="8">
        <f ca="1"/>
        <v>0</v>
      </c>
      <c r="AE47" s="8">
        <f ca="1"/>
        <v>0</v>
      </c>
      <c r="AF47" s="8">
        <f ca="1"/>
        <v>0</v>
      </c>
      <c r="AG47">
        <f t="shared" ca="1" si="3"/>
        <v>5</v>
      </c>
    </row>
    <row r="48" spans="1:33" x14ac:dyDescent="0.25">
      <c r="B48" s="7">
        <v>0.55208333333333304</v>
      </c>
      <c r="C48" s="8">
        <f ca="1"/>
        <v>1</v>
      </c>
      <c r="D48" s="8">
        <f ca="1"/>
        <v>1</v>
      </c>
      <c r="E48" s="8">
        <f ca="1"/>
        <v>0</v>
      </c>
      <c r="F48" s="8">
        <f ca="1"/>
        <v>1</v>
      </c>
      <c r="G48" s="8">
        <f ca="1"/>
        <v>0</v>
      </c>
      <c r="H48" s="8">
        <f ca="1"/>
        <v>0</v>
      </c>
      <c r="I48" s="8">
        <f ca="1"/>
        <v>1</v>
      </c>
      <c r="J48" s="8">
        <f ca="1"/>
        <v>0</v>
      </c>
      <c r="K48" s="8">
        <f ca="1"/>
        <v>0</v>
      </c>
      <c r="L48" s="8">
        <f ca="1"/>
        <v>0</v>
      </c>
      <c r="M48" s="8">
        <f ca="1"/>
        <v>0</v>
      </c>
      <c r="N48" s="8">
        <f ca="1"/>
        <v>1</v>
      </c>
      <c r="O48" s="8">
        <f ca="1"/>
        <v>1</v>
      </c>
      <c r="P48" s="8">
        <f ca="1"/>
        <v>0</v>
      </c>
      <c r="Q48" s="8">
        <f ca="1"/>
        <v>0</v>
      </c>
      <c r="R48" s="8">
        <f ca="1"/>
        <v>1</v>
      </c>
      <c r="S48" s="8">
        <f ca="1"/>
        <v>0</v>
      </c>
      <c r="T48" s="8">
        <f ca="1"/>
        <v>0</v>
      </c>
      <c r="U48" s="8">
        <f ca="1"/>
        <v>0</v>
      </c>
      <c r="V48" s="8">
        <f ca="1"/>
        <v>1</v>
      </c>
      <c r="W48" s="8">
        <f ca="1"/>
        <v>0</v>
      </c>
      <c r="X48" s="8">
        <f ca="1"/>
        <v>0</v>
      </c>
      <c r="Y48" s="8">
        <f ca="1"/>
        <v>0</v>
      </c>
      <c r="Z48" s="8">
        <f ca="1"/>
        <v>1</v>
      </c>
      <c r="AA48" s="8">
        <f ca="1"/>
        <v>0</v>
      </c>
      <c r="AB48" s="8">
        <f ca="1"/>
        <v>0</v>
      </c>
      <c r="AC48" s="8">
        <f ca="1"/>
        <v>1</v>
      </c>
      <c r="AD48" s="8">
        <f ca="1"/>
        <v>0</v>
      </c>
      <c r="AE48" s="8">
        <f ca="1"/>
        <v>1</v>
      </c>
      <c r="AF48" s="8">
        <f ca="1"/>
        <v>0</v>
      </c>
      <c r="AG48">
        <f t="shared" ca="1" si="3"/>
        <v>11</v>
      </c>
    </row>
    <row r="49" spans="1:33" x14ac:dyDescent="0.25">
      <c r="B49" s="7">
        <v>0.625</v>
      </c>
      <c r="C49" s="8">
        <f ca="1"/>
        <v>1</v>
      </c>
      <c r="D49" s="8">
        <f ca="1"/>
        <v>0</v>
      </c>
      <c r="E49" s="8">
        <f ca="1"/>
        <v>1</v>
      </c>
      <c r="F49" s="8">
        <f ca="1"/>
        <v>0</v>
      </c>
      <c r="G49" s="8">
        <f ca="1"/>
        <v>1</v>
      </c>
      <c r="H49" s="8">
        <f ca="1"/>
        <v>1</v>
      </c>
      <c r="I49" s="8">
        <f ca="1"/>
        <v>1</v>
      </c>
      <c r="J49" s="8">
        <f ca="1"/>
        <v>1</v>
      </c>
      <c r="K49" s="8">
        <f ca="1"/>
        <v>0</v>
      </c>
      <c r="L49" s="8">
        <f ca="1"/>
        <v>1</v>
      </c>
      <c r="M49" s="8">
        <f ca="1"/>
        <v>0</v>
      </c>
      <c r="N49" s="8">
        <f ca="1"/>
        <v>0</v>
      </c>
      <c r="O49" s="8">
        <f ca="1"/>
        <v>1</v>
      </c>
      <c r="P49" s="8">
        <f ca="1"/>
        <v>0</v>
      </c>
      <c r="Q49" s="8">
        <f ca="1"/>
        <v>0</v>
      </c>
      <c r="R49" s="8">
        <f ca="1"/>
        <v>0</v>
      </c>
      <c r="S49" s="8">
        <f ca="1"/>
        <v>0</v>
      </c>
      <c r="T49" s="8">
        <f ca="1"/>
        <v>1</v>
      </c>
      <c r="U49" s="8">
        <f ca="1"/>
        <v>1</v>
      </c>
      <c r="V49" s="8">
        <f ca="1"/>
        <v>0</v>
      </c>
      <c r="W49" s="8">
        <f ca="1"/>
        <v>0</v>
      </c>
      <c r="X49" s="8">
        <f ca="1"/>
        <v>0</v>
      </c>
      <c r="Y49" s="8">
        <f ca="1"/>
        <v>1</v>
      </c>
      <c r="Z49" s="8">
        <f ca="1"/>
        <v>1</v>
      </c>
      <c r="AA49" s="8">
        <f ca="1"/>
        <v>0</v>
      </c>
      <c r="AB49" s="8">
        <f ca="1"/>
        <v>0</v>
      </c>
      <c r="AC49" s="8">
        <f ca="1"/>
        <v>1</v>
      </c>
      <c r="AD49" s="8">
        <f ca="1"/>
        <v>1</v>
      </c>
      <c r="AE49" s="8">
        <f ca="1"/>
        <v>0</v>
      </c>
      <c r="AF49" s="8">
        <f ca="1"/>
        <v>0</v>
      </c>
      <c r="AG49">
        <f t="shared" ca="1" si="3"/>
        <v>14</v>
      </c>
    </row>
    <row r="50" spans="1:33" x14ac:dyDescent="0.25">
      <c r="B50" s="7">
        <v>0.69791666666666696</v>
      </c>
      <c r="C50" s="8">
        <f ca="1"/>
        <v>1</v>
      </c>
      <c r="D50" s="8">
        <f ca="1"/>
        <v>1</v>
      </c>
      <c r="E50" s="8">
        <f ca="1"/>
        <v>0</v>
      </c>
      <c r="F50" s="8">
        <f ca="1"/>
        <v>0</v>
      </c>
      <c r="G50" s="8">
        <f ca="1"/>
        <v>1</v>
      </c>
      <c r="H50" s="8">
        <f ca="1"/>
        <v>1</v>
      </c>
      <c r="I50" s="8">
        <f ca="1"/>
        <v>1</v>
      </c>
      <c r="J50" s="8">
        <f ca="1"/>
        <v>1</v>
      </c>
      <c r="K50" s="8">
        <f ca="1"/>
        <v>1</v>
      </c>
      <c r="L50" s="8">
        <f ca="1"/>
        <v>0</v>
      </c>
      <c r="M50" s="8">
        <f ca="1"/>
        <v>1</v>
      </c>
      <c r="N50" s="8">
        <f ca="1"/>
        <v>1</v>
      </c>
      <c r="O50" s="8">
        <f ca="1"/>
        <v>1</v>
      </c>
      <c r="P50" s="8">
        <f ca="1"/>
        <v>1</v>
      </c>
      <c r="Q50" s="8">
        <f ca="1"/>
        <v>0</v>
      </c>
      <c r="R50" s="8">
        <f ca="1"/>
        <v>1</v>
      </c>
      <c r="S50" s="8">
        <f ca="1"/>
        <v>0</v>
      </c>
      <c r="T50" s="8">
        <f ca="1"/>
        <v>1</v>
      </c>
      <c r="U50" s="8">
        <f ca="1"/>
        <v>1</v>
      </c>
      <c r="V50" s="8">
        <f ca="1"/>
        <v>1</v>
      </c>
      <c r="W50" s="8">
        <f ca="1"/>
        <v>1</v>
      </c>
      <c r="X50" s="8">
        <f ca="1"/>
        <v>0</v>
      </c>
      <c r="Y50" s="8">
        <f ca="1"/>
        <v>0</v>
      </c>
      <c r="Z50" s="8">
        <f ca="1"/>
        <v>1</v>
      </c>
      <c r="AA50" s="8">
        <f ca="1"/>
        <v>1</v>
      </c>
      <c r="AB50" s="8">
        <f ca="1"/>
        <v>0</v>
      </c>
      <c r="AC50" s="8">
        <f ca="1"/>
        <v>0</v>
      </c>
      <c r="AD50" s="8">
        <f ca="1"/>
        <v>1</v>
      </c>
      <c r="AE50" s="8">
        <f ca="1"/>
        <v>0</v>
      </c>
      <c r="AF50" s="8">
        <f ca="1"/>
        <v>0</v>
      </c>
      <c r="AG50">
        <f t="shared" ca="1" si="3"/>
        <v>19</v>
      </c>
    </row>
    <row r="51" spans="1:33" x14ac:dyDescent="0.25">
      <c r="A51" t="s">
        <v>20</v>
      </c>
      <c r="B51" s="7">
        <v>0.33333333333333331</v>
      </c>
      <c r="C51" s="8">
        <f ca="1"/>
        <v>0</v>
      </c>
      <c r="D51" s="8">
        <f ca="1"/>
        <v>0</v>
      </c>
      <c r="E51" s="8">
        <f ca="1"/>
        <v>0</v>
      </c>
      <c r="F51" s="8">
        <f ca="1"/>
        <v>1</v>
      </c>
      <c r="G51" s="8">
        <f ca="1"/>
        <v>0</v>
      </c>
      <c r="H51" s="8">
        <f ca="1"/>
        <v>1</v>
      </c>
      <c r="I51" s="8">
        <f ca="1"/>
        <v>0</v>
      </c>
      <c r="J51" s="8">
        <f ca="1"/>
        <v>0</v>
      </c>
      <c r="K51" s="8">
        <f ca="1"/>
        <v>1</v>
      </c>
      <c r="L51" s="8">
        <f ca="1"/>
        <v>0</v>
      </c>
      <c r="M51" s="8">
        <f ca="1"/>
        <v>1</v>
      </c>
      <c r="N51" s="8">
        <f ca="1"/>
        <v>0</v>
      </c>
      <c r="O51" s="8">
        <f ca="1"/>
        <v>0</v>
      </c>
      <c r="P51" s="8">
        <f ca="1"/>
        <v>1</v>
      </c>
      <c r="Q51" s="8">
        <f ca="1"/>
        <v>1</v>
      </c>
      <c r="R51" s="8">
        <f ca="1"/>
        <v>0</v>
      </c>
      <c r="S51" s="8">
        <f ca="1"/>
        <v>0</v>
      </c>
      <c r="T51" s="8">
        <f ca="1"/>
        <v>1</v>
      </c>
      <c r="U51" s="8">
        <f ca="1"/>
        <v>0</v>
      </c>
      <c r="V51" s="8">
        <f ca="1"/>
        <v>1</v>
      </c>
      <c r="W51" s="8">
        <f ca="1"/>
        <v>0</v>
      </c>
      <c r="X51" s="8">
        <f ca="1"/>
        <v>0</v>
      </c>
      <c r="Y51" s="8">
        <f ca="1"/>
        <v>1</v>
      </c>
      <c r="Z51" s="8">
        <f ca="1"/>
        <v>0</v>
      </c>
      <c r="AA51" s="8">
        <f ca="1"/>
        <v>1</v>
      </c>
      <c r="AB51" s="8">
        <f ca="1"/>
        <v>1</v>
      </c>
      <c r="AC51" s="8">
        <f ca="1"/>
        <v>0</v>
      </c>
      <c r="AD51" s="8">
        <f ca="1"/>
        <v>0</v>
      </c>
      <c r="AE51" s="8">
        <f ca="1"/>
        <v>1</v>
      </c>
      <c r="AF51" s="8">
        <f ca="1"/>
        <v>1</v>
      </c>
      <c r="AG51">
        <f t="shared" ca="1" si="3"/>
        <v>13</v>
      </c>
    </row>
    <row r="52" spans="1:33" x14ac:dyDescent="0.25">
      <c r="B52" s="7">
        <v>0.40625</v>
      </c>
      <c r="C52" s="8">
        <f ca="1"/>
        <v>1</v>
      </c>
      <c r="D52" s="8">
        <f ca="1"/>
        <v>1</v>
      </c>
      <c r="E52" s="8">
        <f ca="1"/>
        <v>0</v>
      </c>
      <c r="F52" s="8">
        <f ca="1"/>
        <v>0</v>
      </c>
      <c r="G52" s="8">
        <f ca="1"/>
        <v>0</v>
      </c>
      <c r="H52" s="8">
        <f ca="1"/>
        <v>0</v>
      </c>
      <c r="I52" s="8">
        <f ca="1"/>
        <v>1</v>
      </c>
      <c r="J52" s="8">
        <f ca="1"/>
        <v>0</v>
      </c>
      <c r="K52" s="8">
        <f ca="1"/>
        <v>1</v>
      </c>
      <c r="L52" s="8">
        <f ca="1"/>
        <v>0</v>
      </c>
      <c r="M52" s="8">
        <f ca="1"/>
        <v>1</v>
      </c>
      <c r="N52" s="8">
        <f ca="1"/>
        <v>0</v>
      </c>
      <c r="O52" s="8">
        <f ca="1"/>
        <v>1</v>
      </c>
      <c r="P52" s="8">
        <f ca="1"/>
        <v>0</v>
      </c>
      <c r="Q52" s="8">
        <f ca="1"/>
        <v>0</v>
      </c>
      <c r="R52" s="8">
        <f ca="1"/>
        <v>0</v>
      </c>
      <c r="S52" s="8">
        <f ca="1"/>
        <v>0</v>
      </c>
      <c r="T52" s="8">
        <f ca="1"/>
        <v>0</v>
      </c>
      <c r="U52" s="8">
        <f ca="1"/>
        <v>1</v>
      </c>
      <c r="V52" s="8">
        <f ca="1"/>
        <v>0</v>
      </c>
      <c r="W52" s="8">
        <f ca="1"/>
        <v>0</v>
      </c>
      <c r="X52" s="8">
        <f ca="1"/>
        <v>1</v>
      </c>
      <c r="Y52" s="8">
        <f ca="1"/>
        <v>1</v>
      </c>
      <c r="Z52" s="8">
        <f ca="1"/>
        <v>0</v>
      </c>
      <c r="AA52" s="8">
        <f ca="1"/>
        <v>0</v>
      </c>
      <c r="AB52" s="8">
        <f ca="1"/>
        <v>0</v>
      </c>
      <c r="AC52" s="8">
        <f ca="1"/>
        <v>1</v>
      </c>
      <c r="AD52" s="8">
        <f ca="1"/>
        <v>1</v>
      </c>
      <c r="AE52" s="8">
        <f ca="1"/>
        <v>0</v>
      </c>
      <c r="AF52" s="8">
        <f ca="1"/>
        <v>1</v>
      </c>
      <c r="AG52">
        <f t="shared" ca="1" si="3"/>
        <v>12</v>
      </c>
    </row>
    <row r="53" spans="1:33" x14ac:dyDescent="0.25">
      <c r="B53" s="7">
        <v>0.47916666666666669</v>
      </c>
      <c r="C53" s="8">
        <f ca="1"/>
        <v>1</v>
      </c>
      <c r="D53" s="8">
        <f ca="1"/>
        <v>0</v>
      </c>
      <c r="E53" s="8">
        <f ca="1"/>
        <v>0</v>
      </c>
      <c r="F53" s="8">
        <f ca="1"/>
        <v>0</v>
      </c>
      <c r="G53" s="8">
        <f ca="1"/>
        <v>1</v>
      </c>
      <c r="H53" s="8">
        <f ca="1"/>
        <v>1</v>
      </c>
      <c r="I53" s="8">
        <f ca="1"/>
        <v>0</v>
      </c>
      <c r="J53" s="8">
        <f ca="1"/>
        <v>0</v>
      </c>
      <c r="K53" s="8">
        <f ca="1"/>
        <v>0</v>
      </c>
      <c r="L53" s="8">
        <f ca="1"/>
        <v>1</v>
      </c>
      <c r="M53" s="8">
        <f ca="1"/>
        <v>0</v>
      </c>
      <c r="N53" s="8">
        <f ca="1"/>
        <v>1</v>
      </c>
      <c r="O53" s="8">
        <f ca="1"/>
        <v>0</v>
      </c>
      <c r="P53" s="8">
        <f ca="1"/>
        <v>1</v>
      </c>
      <c r="Q53" s="8">
        <f ca="1"/>
        <v>0</v>
      </c>
      <c r="R53" s="8">
        <f ca="1"/>
        <v>1</v>
      </c>
      <c r="S53" s="8">
        <f ca="1"/>
        <v>1</v>
      </c>
      <c r="T53" s="8">
        <f ca="1"/>
        <v>0</v>
      </c>
      <c r="U53" s="8">
        <f ca="1"/>
        <v>0</v>
      </c>
      <c r="V53" s="8">
        <f ca="1"/>
        <v>0</v>
      </c>
      <c r="W53" s="8">
        <f ca="1"/>
        <v>1</v>
      </c>
      <c r="X53" s="8">
        <f ca="1"/>
        <v>1</v>
      </c>
      <c r="Y53" s="8">
        <f ca="1"/>
        <v>0</v>
      </c>
      <c r="Z53" s="8">
        <f ca="1"/>
        <v>0</v>
      </c>
      <c r="AA53" s="8">
        <f ca="1"/>
        <v>1</v>
      </c>
      <c r="AB53" s="8">
        <f ca="1"/>
        <v>1</v>
      </c>
      <c r="AC53" s="8">
        <f ca="1"/>
        <v>0</v>
      </c>
      <c r="AD53" s="8">
        <f ca="1"/>
        <v>0</v>
      </c>
      <c r="AE53" s="8">
        <f ca="1"/>
        <v>1</v>
      </c>
      <c r="AF53" s="8">
        <f ca="1"/>
        <v>1</v>
      </c>
      <c r="AG53">
        <f t="shared" ca="1" si="3"/>
        <v>14</v>
      </c>
    </row>
    <row r="54" spans="1:33" x14ac:dyDescent="0.25">
      <c r="B54" s="7">
        <v>0.55208333333333304</v>
      </c>
      <c r="C54" s="8">
        <f ca="1"/>
        <v>0</v>
      </c>
      <c r="D54" s="8">
        <f ca="1"/>
        <v>1</v>
      </c>
      <c r="E54" s="8">
        <f ca="1"/>
        <v>1</v>
      </c>
      <c r="F54" s="8">
        <f ca="1"/>
        <v>0</v>
      </c>
      <c r="G54" s="8">
        <f ca="1"/>
        <v>1</v>
      </c>
      <c r="H54" s="8">
        <f ca="1"/>
        <v>0</v>
      </c>
      <c r="I54" s="8">
        <f ca="1"/>
        <v>0</v>
      </c>
      <c r="J54" s="8">
        <f ca="1"/>
        <v>1</v>
      </c>
      <c r="K54" s="8">
        <f ca="1"/>
        <v>0</v>
      </c>
      <c r="L54" s="8">
        <f ca="1"/>
        <v>0</v>
      </c>
      <c r="M54" s="8">
        <f ca="1"/>
        <v>1</v>
      </c>
      <c r="N54" s="8">
        <f ca="1"/>
        <v>0</v>
      </c>
      <c r="O54" s="8">
        <f ca="1"/>
        <v>1</v>
      </c>
      <c r="P54" s="8">
        <f ca="1"/>
        <v>0</v>
      </c>
      <c r="Q54" s="8">
        <f ca="1"/>
        <v>0</v>
      </c>
      <c r="R54" s="8">
        <f ca="1"/>
        <v>1</v>
      </c>
      <c r="S54" s="8">
        <f ca="1"/>
        <v>0</v>
      </c>
      <c r="T54" s="8">
        <f ca="1"/>
        <v>0</v>
      </c>
      <c r="U54" s="8">
        <f ca="1"/>
        <v>0</v>
      </c>
      <c r="V54" s="8">
        <f ca="1"/>
        <v>0</v>
      </c>
      <c r="W54" s="8">
        <f ca="1"/>
        <v>1</v>
      </c>
      <c r="X54" s="8">
        <f ca="1"/>
        <v>0</v>
      </c>
      <c r="Y54" s="8">
        <f ca="1"/>
        <v>0</v>
      </c>
      <c r="Z54" s="8">
        <f ca="1"/>
        <v>0</v>
      </c>
      <c r="AA54" s="8">
        <f ca="1"/>
        <v>0</v>
      </c>
      <c r="AB54" s="8">
        <f ca="1"/>
        <v>0</v>
      </c>
      <c r="AC54" s="8">
        <f ca="1"/>
        <v>0</v>
      </c>
      <c r="AD54" s="8">
        <f ca="1"/>
        <v>0</v>
      </c>
      <c r="AE54" s="8">
        <f ca="1"/>
        <v>0</v>
      </c>
      <c r="AF54" s="8">
        <f ca="1"/>
        <v>0</v>
      </c>
      <c r="AG54">
        <f t="shared" ca="1" si="3"/>
        <v>8</v>
      </c>
    </row>
    <row r="55" spans="1:33" x14ac:dyDescent="0.25">
      <c r="B55" s="7">
        <v>0.625</v>
      </c>
      <c r="C55" s="8">
        <f ca="1"/>
        <v>0</v>
      </c>
      <c r="D55" s="8">
        <f ca="1"/>
        <v>1</v>
      </c>
      <c r="E55" s="8">
        <f ca="1"/>
        <v>0</v>
      </c>
      <c r="F55" s="8">
        <f ca="1"/>
        <v>1</v>
      </c>
      <c r="G55" s="8">
        <f ca="1"/>
        <v>0</v>
      </c>
      <c r="H55" s="8">
        <f ca="1"/>
        <v>1</v>
      </c>
      <c r="I55" s="8">
        <f ca="1"/>
        <v>1</v>
      </c>
      <c r="J55" s="8">
        <f ca="1"/>
        <v>1</v>
      </c>
      <c r="K55" s="8">
        <f ca="1"/>
        <v>0</v>
      </c>
      <c r="L55" s="8">
        <f ca="1"/>
        <v>1</v>
      </c>
      <c r="M55" s="8">
        <f ca="1"/>
        <v>0</v>
      </c>
      <c r="N55" s="8">
        <f ca="1"/>
        <v>0</v>
      </c>
      <c r="O55" s="8">
        <f ca="1"/>
        <v>0</v>
      </c>
      <c r="P55" s="8">
        <f ca="1"/>
        <v>0</v>
      </c>
      <c r="Q55" s="8">
        <f ca="1"/>
        <v>0</v>
      </c>
      <c r="R55" s="8">
        <f ca="1"/>
        <v>0</v>
      </c>
      <c r="S55" s="8">
        <f ca="1"/>
        <v>1</v>
      </c>
      <c r="T55" s="8">
        <f ca="1"/>
        <v>1</v>
      </c>
      <c r="U55" s="8">
        <f ca="1"/>
        <v>1</v>
      </c>
      <c r="V55" s="8">
        <f ca="1"/>
        <v>0</v>
      </c>
      <c r="W55" s="8">
        <f ca="1"/>
        <v>0</v>
      </c>
      <c r="X55" s="8">
        <f ca="1"/>
        <v>1</v>
      </c>
      <c r="Y55" s="8">
        <f ca="1"/>
        <v>0</v>
      </c>
      <c r="Z55" s="8">
        <f ca="1"/>
        <v>1</v>
      </c>
      <c r="AA55" s="8">
        <f ca="1"/>
        <v>0</v>
      </c>
      <c r="AB55" s="8">
        <f ca="1"/>
        <v>1</v>
      </c>
      <c r="AC55" s="8">
        <f ca="1"/>
        <v>0</v>
      </c>
      <c r="AD55" s="8">
        <f ca="1"/>
        <v>1</v>
      </c>
      <c r="AE55" s="8">
        <f ca="1"/>
        <v>0</v>
      </c>
      <c r="AF55" s="8">
        <f ca="1"/>
        <v>0</v>
      </c>
      <c r="AG55">
        <f t="shared" ca="1" si="3"/>
        <v>13</v>
      </c>
    </row>
    <row r="56" spans="1:33" x14ac:dyDescent="0.25">
      <c r="B56" s="7">
        <v>0.69791666666666696</v>
      </c>
      <c r="C56" s="8">
        <f ca="1"/>
        <v>0</v>
      </c>
      <c r="D56" s="8">
        <f ca="1"/>
        <v>0</v>
      </c>
      <c r="E56" s="8">
        <f ca="1"/>
        <v>1</v>
      </c>
      <c r="F56" s="8">
        <f ca="1"/>
        <v>0</v>
      </c>
      <c r="G56" s="8">
        <f ca="1"/>
        <v>0</v>
      </c>
      <c r="H56" s="8">
        <f ca="1"/>
        <v>0</v>
      </c>
      <c r="I56" s="8">
        <f ca="1"/>
        <v>0</v>
      </c>
      <c r="J56" s="8">
        <f ca="1"/>
        <v>0</v>
      </c>
      <c r="K56" s="8">
        <f ca="1"/>
        <v>1</v>
      </c>
      <c r="L56" s="8">
        <f ca="1"/>
        <v>1</v>
      </c>
      <c r="M56" s="8">
        <f ca="1"/>
        <v>1</v>
      </c>
      <c r="N56" s="8">
        <f ca="1"/>
        <v>1</v>
      </c>
      <c r="O56" s="8">
        <f ca="1"/>
        <v>0</v>
      </c>
      <c r="P56" s="8">
        <f ca="1"/>
        <v>0</v>
      </c>
      <c r="Q56" s="8">
        <f ca="1"/>
        <v>1</v>
      </c>
      <c r="R56" s="8">
        <f ca="1"/>
        <v>0</v>
      </c>
      <c r="S56" s="8">
        <f ca="1"/>
        <v>1</v>
      </c>
      <c r="T56" s="8">
        <f ca="1"/>
        <v>0</v>
      </c>
      <c r="U56" s="8">
        <f ca="1"/>
        <v>1</v>
      </c>
      <c r="V56" s="8">
        <f ca="1"/>
        <v>0</v>
      </c>
      <c r="W56" s="8">
        <f ca="1"/>
        <v>1</v>
      </c>
      <c r="X56" s="8">
        <f ca="1"/>
        <v>0</v>
      </c>
      <c r="Y56" s="8">
        <f ca="1"/>
        <v>1</v>
      </c>
      <c r="Z56" s="8">
        <f ca="1"/>
        <v>0</v>
      </c>
      <c r="AA56" s="8">
        <f ca="1"/>
        <v>0</v>
      </c>
      <c r="AB56" s="8">
        <f ca="1"/>
        <v>1</v>
      </c>
      <c r="AC56" s="8">
        <f ca="1"/>
        <v>1</v>
      </c>
      <c r="AD56" s="8">
        <f ca="1"/>
        <v>0</v>
      </c>
      <c r="AE56" s="8">
        <f ca="1"/>
        <v>1</v>
      </c>
      <c r="AF56" s="8">
        <f ca="1"/>
        <v>1</v>
      </c>
      <c r="AG56">
        <f t="shared" ca="1" si="3"/>
        <v>14</v>
      </c>
    </row>
    <row r="57" spans="1:33" x14ac:dyDescent="0.25">
      <c r="A57" t="s">
        <v>21</v>
      </c>
      <c r="B57" s="7">
        <v>0.33333333333333331</v>
      </c>
      <c r="C57" s="8">
        <f ca="1"/>
        <v>0</v>
      </c>
      <c r="D57" s="8">
        <f ca="1"/>
        <v>0</v>
      </c>
      <c r="E57" s="8">
        <f ca="1"/>
        <v>1</v>
      </c>
      <c r="F57" s="8">
        <f ca="1"/>
        <v>1</v>
      </c>
      <c r="G57" s="8">
        <f ca="1"/>
        <v>0</v>
      </c>
      <c r="H57" s="8">
        <f ca="1"/>
        <v>0</v>
      </c>
      <c r="I57" s="8">
        <f ca="1"/>
        <v>0</v>
      </c>
      <c r="J57" s="8">
        <f ca="1"/>
        <v>0</v>
      </c>
      <c r="K57" s="8">
        <f ca="1"/>
        <v>1</v>
      </c>
      <c r="L57" s="8">
        <f ca="1"/>
        <v>1</v>
      </c>
      <c r="M57" s="8">
        <f ca="1"/>
        <v>0</v>
      </c>
      <c r="N57" s="8">
        <f ca="1"/>
        <v>1</v>
      </c>
      <c r="O57" s="8">
        <f ca="1"/>
        <v>0</v>
      </c>
      <c r="P57" s="8">
        <f ca="1"/>
        <v>1</v>
      </c>
      <c r="Q57" s="8">
        <f ca="1"/>
        <v>1</v>
      </c>
      <c r="R57" s="8">
        <f ca="1"/>
        <v>1</v>
      </c>
      <c r="S57" s="8">
        <f ca="1"/>
        <v>0</v>
      </c>
      <c r="T57" s="8">
        <f ca="1"/>
        <v>0</v>
      </c>
      <c r="U57" s="8">
        <f ca="1"/>
        <v>0</v>
      </c>
      <c r="V57" s="8">
        <f ca="1"/>
        <v>1</v>
      </c>
      <c r="W57" s="8">
        <f ca="1"/>
        <v>0</v>
      </c>
      <c r="X57" s="8">
        <f ca="1"/>
        <v>1</v>
      </c>
      <c r="Y57" s="8">
        <f ca="1"/>
        <v>1</v>
      </c>
      <c r="Z57" s="8">
        <f ca="1"/>
        <v>1</v>
      </c>
      <c r="AA57" s="8">
        <f ca="1"/>
        <v>1</v>
      </c>
      <c r="AB57" s="8">
        <f ca="1"/>
        <v>1</v>
      </c>
      <c r="AC57" s="8">
        <f ca="1"/>
        <v>1</v>
      </c>
      <c r="AD57" s="8">
        <f ca="1"/>
        <v>0</v>
      </c>
      <c r="AE57" s="8">
        <f ca="1"/>
        <v>1</v>
      </c>
      <c r="AF57" s="8">
        <f ca="1"/>
        <v>0</v>
      </c>
      <c r="AG57">
        <f t="shared" ca="1" si="3"/>
        <v>16</v>
      </c>
    </row>
    <row r="58" spans="1:33" x14ac:dyDescent="0.25">
      <c r="B58" s="7">
        <v>0.40625</v>
      </c>
      <c r="C58" s="8">
        <f ca="1"/>
        <v>0</v>
      </c>
      <c r="D58" s="8">
        <f ca="1"/>
        <v>0</v>
      </c>
      <c r="E58" s="8">
        <f ca="1"/>
        <v>1</v>
      </c>
      <c r="F58" s="8">
        <f ca="1"/>
        <v>1</v>
      </c>
      <c r="G58" s="8">
        <f ca="1"/>
        <v>0</v>
      </c>
      <c r="H58" s="8">
        <f ca="1"/>
        <v>0</v>
      </c>
      <c r="I58" s="8">
        <f ca="1"/>
        <v>0</v>
      </c>
      <c r="J58" s="8">
        <f ca="1"/>
        <v>1</v>
      </c>
      <c r="K58" s="8">
        <f ca="1"/>
        <v>0</v>
      </c>
      <c r="L58" s="8">
        <f ca="1"/>
        <v>0</v>
      </c>
      <c r="M58" s="8">
        <f ca="1"/>
        <v>0</v>
      </c>
      <c r="N58" s="8">
        <f ca="1"/>
        <v>0</v>
      </c>
      <c r="O58" s="8">
        <f ca="1"/>
        <v>0</v>
      </c>
      <c r="P58" s="8">
        <f ca="1"/>
        <v>1</v>
      </c>
      <c r="Q58" s="8">
        <f ca="1"/>
        <v>1</v>
      </c>
      <c r="R58" s="8">
        <f ca="1"/>
        <v>0</v>
      </c>
      <c r="S58" s="8">
        <f ca="1"/>
        <v>1</v>
      </c>
      <c r="T58" s="8">
        <f ca="1"/>
        <v>0</v>
      </c>
      <c r="U58" s="8">
        <f ca="1"/>
        <v>0</v>
      </c>
      <c r="V58" s="8">
        <f ca="1"/>
        <v>1</v>
      </c>
      <c r="W58" s="8">
        <f ca="1"/>
        <v>0</v>
      </c>
      <c r="X58" s="8">
        <f ca="1"/>
        <v>1</v>
      </c>
      <c r="Y58" s="8">
        <f ca="1"/>
        <v>0</v>
      </c>
      <c r="Z58" s="8">
        <f ca="1"/>
        <v>0</v>
      </c>
      <c r="AA58" s="8">
        <f ca="1"/>
        <v>1</v>
      </c>
      <c r="AB58" s="8">
        <f ca="1"/>
        <v>0</v>
      </c>
      <c r="AC58" s="8">
        <f ca="1"/>
        <v>0</v>
      </c>
      <c r="AD58" s="8">
        <f ca="1"/>
        <v>1</v>
      </c>
      <c r="AE58" s="8">
        <f ca="1"/>
        <v>0</v>
      </c>
      <c r="AF58" s="8">
        <f ca="1"/>
        <v>1</v>
      </c>
      <c r="AG58">
        <f t="shared" ca="1" si="3"/>
        <v>11</v>
      </c>
    </row>
    <row r="59" spans="1:33" x14ac:dyDescent="0.25">
      <c r="B59" s="7">
        <v>0.47916666666666669</v>
      </c>
      <c r="C59" s="8">
        <f ca="1"/>
        <v>0</v>
      </c>
      <c r="D59" s="8">
        <f ca="1"/>
        <v>0</v>
      </c>
      <c r="E59" s="8">
        <f ca="1"/>
        <v>0</v>
      </c>
      <c r="F59" s="8">
        <f ca="1"/>
        <v>0</v>
      </c>
      <c r="G59" s="8">
        <f ca="1"/>
        <v>1</v>
      </c>
      <c r="H59" s="8">
        <f ca="1"/>
        <v>0</v>
      </c>
      <c r="I59" s="8">
        <f ca="1"/>
        <v>0</v>
      </c>
      <c r="J59" s="8">
        <f ca="1"/>
        <v>0</v>
      </c>
      <c r="K59" s="8">
        <f ca="1"/>
        <v>0</v>
      </c>
      <c r="L59" s="8">
        <f ca="1"/>
        <v>0</v>
      </c>
      <c r="M59" s="8">
        <f ca="1"/>
        <v>0</v>
      </c>
      <c r="N59" s="8">
        <f ca="1"/>
        <v>0</v>
      </c>
      <c r="O59" s="8">
        <f ca="1"/>
        <v>0</v>
      </c>
      <c r="P59" s="8">
        <f ca="1"/>
        <v>0</v>
      </c>
      <c r="Q59" s="8">
        <f ca="1"/>
        <v>1</v>
      </c>
      <c r="R59" s="8">
        <f ca="1"/>
        <v>0</v>
      </c>
      <c r="S59" s="8">
        <f ca="1"/>
        <v>1</v>
      </c>
      <c r="T59" s="8">
        <f ca="1"/>
        <v>1</v>
      </c>
      <c r="U59" s="8">
        <f ca="1"/>
        <v>0</v>
      </c>
      <c r="V59" s="8">
        <f ca="1"/>
        <v>0</v>
      </c>
      <c r="W59" s="8">
        <f ca="1"/>
        <v>1</v>
      </c>
      <c r="X59" s="8">
        <f ca="1"/>
        <v>0</v>
      </c>
      <c r="Y59" s="8">
        <f ca="1"/>
        <v>0</v>
      </c>
      <c r="Z59" s="8">
        <f ca="1"/>
        <v>0</v>
      </c>
      <c r="AA59" s="8">
        <f ca="1"/>
        <v>0</v>
      </c>
      <c r="AB59" s="8">
        <f ca="1"/>
        <v>0</v>
      </c>
      <c r="AC59" s="8">
        <f ca="1"/>
        <v>0</v>
      </c>
      <c r="AD59" s="8">
        <f ca="1"/>
        <v>0</v>
      </c>
      <c r="AE59" s="8">
        <f ca="1"/>
        <v>0</v>
      </c>
      <c r="AF59" s="8">
        <f ca="1"/>
        <v>0</v>
      </c>
      <c r="AG59">
        <f t="shared" ca="1" si="3"/>
        <v>5</v>
      </c>
    </row>
    <row r="60" spans="1:33" x14ac:dyDescent="0.25">
      <c r="B60" s="7">
        <v>0.55208333333333304</v>
      </c>
      <c r="C60" s="8">
        <f ca="1"/>
        <v>1</v>
      </c>
      <c r="D60" s="8">
        <f ca="1"/>
        <v>1</v>
      </c>
      <c r="E60" s="8">
        <f ca="1"/>
        <v>0</v>
      </c>
      <c r="F60" s="8">
        <f ca="1"/>
        <v>1</v>
      </c>
      <c r="G60" s="8">
        <f ca="1"/>
        <v>0</v>
      </c>
      <c r="H60" s="8">
        <f ca="1"/>
        <v>0</v>
      </c>
      <c r="I60" s="8">
        <f ca="1"/>
        <v>1</v>
      </c>
      <c r="J60" s="8">
        <f ca="1"/>
        <v>0</v>
      </c>
      <c r="K60" s="8">
        <f ca="1"/>
        <v>0</v>
      </c>
      <c r="L60" s="8">
        <f ca="1"/>
        <v>0</v>
      </c>
      <c r="M60" s="8">
        <f ca="1"/>
        <v>0</v>
      </c>
      <c r="N60" s="8">
        <f ca="1"/>
        <v>1</v>
      </c>
      <c r="O60" s="8">
        <f ca="1"/>
        <v>1</v>
      </c>
      <c r="P60" s="8">
        <f ca="1"/>
        <v>0</v>
      </c>
      <c r="Q60" s="8">
        <f ca="1"/>
        <v>0</v>
      </c>
      <c r="R60" s="8">
        <f ca="1"/>
        <v>1</v>
      </c>
      <c r="S60" s="8">
        <f ca="1"/>
        <v>0</v>
      </c>
      <c r="T60" s="8">
        <f ca="1"/>
        <v>0</v>
      </c>
      <c r="U60" s="8">
        <f ca="1"/>
        <v>0</v>
      </c>
      <c r="V60" s="8">
        <f ca="1"/>
        <v>1</v>
      </c>
      <c r="W60" s="8">
        <f ca="1"/>
        <v>0</v>
      </c>
      <c r="X60" s="8">
        <f ca="1"/>
        <v>0</v>
      </c>
      <c r="Y60" s="8">
        <f ca="1"/>
        <v>0</v>
      </c>
      <c r="Z60" s="8">
        <f ca="1"/>
        <v>1</v>
      </c>
      <c r="AA60" s="8">
        <f ca="1"/>
        <v>0</v>
      </c>
      <c r="AB60" s="8">
        <f ca="1"/>
        <v>0</v>
      </c>
      <c r="AC60" s="8">
        <f ca="1"/>
        <v>1</v>
      </c>
      <c r="AD60" s="8">
        <f ca="1"/>
        <v>0</v>
      </c>
      <c r="AE60" s="8">
        <f ca="1"/>
        <v>1</v>
      </c>
      <c r="AF60" s="8">
        <f ca="1"/>
        <v>0</v>
      </c>
      <c r="AG60">
        <f t="shared" ca="1" si="3"/>
        <v>11</v>
      </c>
    </row>
    <row r="61" spans="1:33" x14ac:dyDescent="0.25">
      <c r="B61" s="7">
        <v>0.625</v>
      </c>
      <c r="C61" s="8">
        <f ca="1"/>
        <v>1</v>
      </c>
      <c r="D61" s="8">
        <f ca="1"/>
        <v>0</v>
      </c>
      <c r="E61" s="8">
        <f ca="1"/>
        <v>1</v>
      </c>
      <c r="F61" s="8">
        <f ca="1"/>
        <v>0</v>
      </c>
      <c r="G61" s="8">
        <f ca="1"/>
        <v>1</v>
      </c>
      <c r="H61" s="8">
        <f ca="1"/>
        <v>1</v>
      </c>
      <c r="I61" s="8">
        <f ca="1"/>
        <v>1</v>
      </c>
      <c r="J61" s="8">
        <f ca="1"/>
        <v>1</v>
      </c>
      <c r="K61" s="8">
        <f ca="1"/>
        <v>0</v>
      </c>
      <c r="L61" s="8">
        <f ca="1"/>
        <v>1</v>
      </c>
      <c r="M61" s="8">
        <f ca="1"/>
        <v>0</v>
      </c>
      <c r="N61" s="8">
        <f ca="1"/>
        <v>0</v>
      </c>
      <c r="O61" s="8">
        <f ca="1"/>
        <v>1</v>
      </c>
      <c r="P61" s="8">
        <f ca="1"/>
        <v>0</v>
      </c>
      <c r="Q61" s="8">
        <f ca="1"/>
        <v>0</v>
      </c>
      <c r="R61" s="8">
        <f ca="1"/>
        <v>0</v>
      </c>
      <c r="S61" s="8">
        <f ca="1"/>
        <v>0</v>
      </c>
      <c r="T61" s="8">
        <f ca="1"/>
        <v>1</v>
      </c>
      <c r="U61" s="8">
        <f ca="1"/>
        <v>1</v>
      </c>
      <c r="V61" s="8">
        <f ca="1"/>
        <v>0</v>
      </c>
      <c r="W61" s="8">
        <f ca="1"/>
        <v>0</v>
      </c>
      <c r="X61" s="8">
        <f ca="1"/>
        <v>0</v>
      </c>
      <c r="Y61" s="8">
        <f ca="1"/>
        <v>1</v>
      </c>
      <c r="Z61" s="8">
        <f ca="1"/>
        <v>1</v>
      </c>
      <c r="AA61" s="8">
        <f ca="1"/>
        <v>0</v>
      </c>
      <c r="AB61" s="8">
        <f ca="1"/>
        <v>0</v>
      </c>
      <c r="AC61" s="8">
        <f ca="1"/>
        <v>1</v>
      </c>
      <c r="AD61" s="8">
        <f ca="1"/>
        <v>1</v>
      </c>
      <c r="AE61" s="8">
        <f ca="1"/>
        <v>0</v>
      </c>
      <c r="AF61" s="8">
        <f ca="1"/>
        <v>0</v>
      </c>
      <c r="AG61">
        <f t="shared" ca="1" si="3"/>
        <v>14</v>
      </c>
    </row>
    <row r="62" spans="1:33" x14ac:dyDescent="0.25">
      <c r="B62" s="7">
        <v>0.69791666666666696</v>
      </c>
      <c r="C62" s="8">
        <f ca="1"/>
        <v>1</v>
      </c>
      <c r="D62" s="8">
        <f ca="1"/>
        <v>1</v>
      </c>
      <c r="E62" s="8">
        <f ca="1"/>
        <v>0</v>
      </c>
      <c r="F62" s="8">
        <f ca="1"/>
        <v>0</v>
      </c>
      <c r="G62" s="8">
        <f ca="1"/>
        <v>1</v>
      </c>
      <c r="H62" s="8">
        <f ca="1"/>
        <v>1</v>
      </c>
      <c r="I62" s="8">
        <f ca="1"/>
        <v>1</v>
      </c>
      <c r="J62" s="8">
        <f ca="1"/>
        <v>1</v>
      </c>
      <c r="K62" s="8">
        <f ca="1"/>
        <v>1</v>
      </c>
      <c r="L62" s="8">
        <f ca="1"/>
        <v>0</v>
      </c>
      <c r="M62" s="8">
        <f ca="1"/>
        <v>1</v>
      </c>
      <c r="N62" s="8">
        <f ca="1"/>
        <v>1</v>
      </c>
      <c r="O62" s="8">
        <f ca="1"/>
        <v>1</v>
      </c>
      <c r="P62" s="8">
        <f ca="1"/>
        <v>1</v>
      </c>
      <c r="Q62" s="8">
        <f ca="1"/>
        <v>0</v>
      </c>
      <c r="R62" s="8">
        <f ca="1"/>
        <v>1</v>
      </c>
      <c r="S62" s="8">
        <f ca="1"/>
        <v>0</v>
      </c>
      <c r="T62" s="8">
        <f ca="1"/>
        <v>1</v>
      </c>
      <c r="U62" s="8">
        <f ca="1"/>
        <v>1</v>
      </c>
      <c r="V62" s="8">
        <f ca="1"/>
        <v>1</v>
      </c>
      <c r="W62" s="8">
        <f ca="1"/>
        <v>1</v>
      </c>
      <c r="X62" s="8">
        <f ca="1"/>
        <v>0</v>
      </c>
      <c r="Y62" s="8">
        <f ca="1"/>
        <v>0</v>
      </c>
      <c r="Z62" s="8">
        <f ca="1"/>
        <v>1</v>
      </c>
      <c r="AA62" s="8">
        <f ca="1"/>
        <v>1</v>
      </c>
      <c r="AB62" s="8">
        <f ca="1"/>
        <v>0</v>
      </c>
      <c r="AC62" s="8">
        <f ca="1"/>
        <v>0</v>
      </c>
      <c r="AD62" s="8">
        <f ca="1"/>
        <v>1</v>
      </c>
      <c r="AE62" s="8">
        <f ca="1"/>
        <v>0</v>
      </c>
      <c r="AF62" s="8">
        <f ca="1"/>
        <v>0</v>
      </c>
      <c r="AG62">
        <f t="shared" ca="1" si="3"/>
        <v>19</v>
      </c>
    </row>
    <row r="63" spans="1:33" x14ac:dyDescent="0.25">
      <c r="C63">
        <f ca="1">SUM(C39:C62)</f>
        <v>10</v>
      </c>
      <c r="D63">
        <f t="shared" ref="D63:AF63" ca="1" si="4">SUM(D39:D62)</f>
        <v>10</v>
      </c>
      <c r="E63">
        <f t="shared" ca="1" si="4"/>
        <v>10</v>
      </c>
      <c r="F63">
        <f t="shared" ca="1" si="4"/>
        <v>10</v>
      </c>
      <c r="G63">
        <f t="shared" ca="1" si="4"/>
        <v>10</v>
      </c>
      <c r="H63">
        <f t="shared" ca="1" si="4"/>
        <v>10</v>
      </c>
      <c r="I63">
        <f t="shared" ca="1" si="4"/>
        <v>10</v>
      </c>
      <c r="J63">
        <f t="shared" ca="1" si="4"/>
        <v>10</v>
      </c>
      <c r="K63">
        <f t="shared" ca="1" si="4"/>
        <v>10</v>
      </c>
      <c r="L63">
        <f t="shared" ca="1" si="4"/>
        <v>10</v>
      </c>
      <c r="M63">
        <f t="shared" ca="1" si="4"/>
        <v>10</v>
      </c>
      <c r="N63">
        <f t="shared" ca="1" si="4"/>
        <v>10</v>
      </c>
      <c r="O63">
        <f t="shared" ca="1" si="4"/>
        <v>10</v>
      </c>
      <c r="P63">
        <f t="shared" ca="1" si="4"/>
        <v>10</v>
      </c>
      <c r="Q63">
        <f t="shared" ca="1" si="4"/>
        <v>10</v>
      </c>
      <c r="R63">
        <f t="shared" ca="1" si="4"/>
        <v>10</v>
      </c>
      <c r="S63">
        <f t="shared" ca="1" si="4"/>
        <v>10</v>
      </c>
      <c r="T63">
        <f t="shared" ca="1" si="4"/>
        <v>10</v>
      </c>
      <c r="U63">
        <f t="shared" ca="1" si="4"/>
        <v>10</v>
      </c>
      <c r="V63">
        <f t="shared" ca="1" si="4"/>
        <v>10</v>
      </c>
      <c r="W63">
        <f t="shared" ca="1" si="4"/>
        <v>10</v>
      </c>
      <c r="X63">
        <f t="shared" ca="1" si="4"/>
        <v>10</v>
      </c>
      <c r="Y63">
        <f t="shared" ca="1" si="4"/>
        <v>10</v>
      </c>
      <c r="Z63">
        <f t="shared" ca="1" si="4"/>
        <v>10</v>
      </c>
      <c r="AA63">
        <f t="shared" ca="1" si="4"/>
        <v>10</v>
      </c>
      <c r="AB63">
        <f t="shared" ca="1" si="4"/>
        <v>10</v>
      </c>
      <c r="AC63">
        <f t="shared" ca="1" si="4"/>
        <v>10</v>
      </c>
      <c r="AD63">
        <f t="shared" ca="1" si="4"/>
        <v>10</v>
      </c>
      <c r="AE63">
        <f t="shared" ca="1" si="4"/>
        <v>10</v>
      </c>
      <c r="AF63">
        <f t="shared" ca="1" si="4"/>
        <v>10</v>
      </c>
    </row>
    <row r="66" spans="3:32" x14ac:dyDescent="0.25">
      <c r="C66">
        <f ca="1">SUMPRODUCT($P$11:$P$34,C39:C62)</f>
        <v>4</v>
      </c>
      <c r="D66">
        <f t="shared" ref="D66:AF66" ca="1" si="5">SUMPRODUCT($P$11:$P$34,D39:D62)</f>
        <v>3</v>
      </c>
      <c r="E66">
        <f t="shared" ca="1" si="5"/>
        <v>4</v>
      </c>
      <c r="F66">
        <f t="shared" ca="1" si="5"/>
        <v>3</v>
      </c>
      <c r="G66">
        <f t="shared" ca="1" si="5"/>
        <v>5</v>
      </c>
      <c r="H66">
        <f t="shared" ca="1" si="5"/>
        <v>4</v>
      </c>
      <c r="I66">
        <f t="shared" ca="1" si="5"/>
        <v>2</v>
      </c>
      <c r="J66">
        <f t="shared" ca="1" si="5"/>
        <v>4</v>
      </c>
      <c r="K66">
        <f t="shared" ca="1" si="5"/>
        <v>4</v>
      </c>
      <c r="L66">
        <f t="shared" ca="1" si="5"/>
        <v>3</v>
      </c>
      <c r="M66">
        <f t="shared" ca="1" si="5"/>
        <v>5</v>
      </c>
      <c r="N66">
        <f t="shared" ca="1" si="5"/>
        <v>4</v>
      </c>
      <c r="O66">
        <f t="shared" ca="1" si="5"/>
        <v>3</v>
      </c>
      <c r="P66">
        <f t="shared" ca="1" si="5"/>
        <v>6</v>
      </c>
      <c r="Q66">
        <f t="shared" ca="1" si="5"/>
        <v>5</v>
      </c>
      <c r="R66">
        <f t="shared" ca="1" si="5"/>
        <v>4</v>
      </c>
      <c r="S66">
        <f t="shared" ca="1" si="5"/>
        <v>6</v>
      </c>
      <c r="T66">
        <f t="shared" ca="1" si="5"/>
        <v>3</v>
      </c>
      <c r="U66">
        <f t="shared" ca="1" si="5"/>
        <v>3</v>
      </c>
      <c r="V66">
        <f t="shared" ca="1" si="5"/>
        <v>4</v>
      </c>
      <c r="W66">
        <f t="shared" ca="1" si="5"/>
        <v>6</v>
      </c>
      <c r="X66">
        <f t="shared" ca="1" si="5"/>
        <v>5</v>
      </c>
      <c r="Y66">
        <f t="shared" ca="1" si="5"/>
        <v>3</v>
      </c>
      <c r="Z66">
        <f t="shared" ca="1" si="5"/>
        <v>1</v>
      </c>
      <c r="AA66">
        <f t="shared" ca="1" si="5"/>
        <v>6</v>
      </c>
      <c r="AB66">
        <f t="shared" ca="1" si="5"/>
        <v>4</v>
      </c>
      <c r="AC66">
        <f t="shared" ca="1" si="5"/>
        <v>2</v>
      </c>
      <c r="AD66">
        <f t="shared" ca="1" si="5"/>
        <v>4</v>
      </c>
      <c r="AE66">
        <f t="shared" ca="1" si="5"/>
        <v>4</v>
      </c>
      <c r="AF66">
        <f t="shared" ca="1" si="5"/>
        <v>7</v>
      </c>
    </row>
    <row r="68" spans="3:32" x14ac:dyDescent="0.25"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</row>
  </sheetData>
  <pageMargins left="0.7" right="0.7" top="0.75" bottom="0.75" header="0.3" footer="0.3"/>
  <pageSetup orientation="portrait" horizontalDpi="200" verticalDpi="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17</xdr:col>
                    <xdr:colOff>361950</xdr:colOff>
                    <xdr:row>13</xdr:row>
                    <xdr:rowOff>19050</xdr:rowOff>
                  </from>
                  <to>
                    <xdr:col>18</xdr:col>
                    <xdr:colOff>514350</xdr:colOff>
                    <xdr:row>14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1A641-DACD-4D8E-AB9A-0AEA25BC6E2F}">
  <dimension ref="A1:AF54"/>
  <sheetViews>
    <sheetView workbookViewId="0">
      <selection activeCell="C31" sqref="C31"/>
    </sheetView>
  </sheetViews>
  <sheetFormatPr defaultRowHeight="15" x14ac:dyDescent="0.25"/>
  <cols>
    <col min="1" max="1" width="15.85546875" customWidth="1"/>
    <col min="2" max="2" width="14.140625" customWidth="1"/>
    <col min="3" max="7" width="14.42578125" customWidth="1"/>
    <col min="8" max="8" width="8.5703125" customWidth="1"/>
    <col min="9" max="9" width="12" bestFit="1" customWidth="1"/>
    <col min="10" max="10" width="12.28515625" customWidth="1"/>
    <col min="11" max="11" width="9" bestFit="1" customWidth="1"/>
    <col min="12" max="14" width="10.140625" bestFit="1" customWidth="1"/>
    <col min="15" max="15" width="14.7109375" bestFit="1" customWidth="1"/>
    <col min="16" max="31" width="8.5703125" customWidth="1"/>
    <col min="32" max="32" width="14.28515625" customWidth="1"/>
  </cols>
  <sheetData>
    <row r="1" spans="1:24" x14ac:dyDescent="0.25">
      <c r="C1" s="6" t="s">
        <v>11</v>
      </c>
    </row>
    <row r="2" spans="1:24" x14ac:dyDescent="0.25">
      <c r="C2" t="s">
        <v>13</v>
      </c>
      <c r="D2" t="s">
        <v>14</v>
      </c>
      <c r="E2" t="s">
        <v>15</v>
      </c>
      <c r="F2" t="s">
        <v>16</v>
      </c>
      <c r="G2" s="6" t="s">
        <v>17</v>
      </c>
      <c r="O2" s="6"/>
      <c r="X2" s="6"/>
    </row>
    <row r="3" spans="1:24" x14ac:dyDescent="0.25">
      <c r="A3" t="s">
        <v>18</v>
      </c>
      <c r="B3" s="7">
        <v>0.33333333333333331</v>
      </c>
      <c r="C3" s="8">
        <v>2</v>
      </c>
      <c r="D3" s="8">
        <v>0</v>
      </c>
      <c r="E3" s="8">
        <v>8</v>
      </c>
      <c r="F3" s="8">
        <v>0</v>
      </c>
      <c r="G3" s="8">
        <v>0</v>
      </c>
      <c r="J3" s="7"/>
      <c r="S3" s="7"/>
    </row>
    <row r="4" spans="1:24" x14ac:dyDescent="0.25">
      <c r="B4" s="7">
        <v>0.40625</v>
      </c>
      <c r="C4" s="8">
        <v>7</v>
      </c>
      <c r="D4" s="8">
        <v>0</v>
      </c>
      <c r="E4" s="8">
        <v>0</v>
      </c>
      <c r="F4" s="8">
        <v>0</v>
      </c>
      <c r="G4" s="8">
        <v>0</v>
      </c>
      <c r="J4" s="7"/>
      <c r="S4" s="7"/>
    </row>
    <row r="5" spans="1:24" x14ac:dyDescent="0.25">
      <c r="B5" s="7">
        <v>0.47916666666666669</v>
      </c>
      <c r="C5" s="8">
        <v>9</v>
      </c>
      <c r="D5" s="8">
        <v>1</v>
      </c>
      <c r="E5" s="8">
        <v>0</v>
      </c>
      <c r="F5" s="8">
        <v>1</v>
      </c>
      <c r="G5" s="8">
        <v>1</v>
      </c>
      <c r="J5" s="7"/>
      <c r="S5" s="7"/>
    </row>
    <row r="6" spans="1:24" x14ac:dyDescent="0.25">
      <c r="B6" s="7">
        <v>0.55208333333333304</v>
      </c>
      <c r="C6" s="8">
        <v>0</v>
      </c>
      <c r="D6" s="8">
        <v>0</v>
      </c>
      <c r="E6" s="8">
        <v>2</v>
      </c>
      <c r="F6" s="8">
        <v>4</v>
      </c>
      <c r="G6" s="8">
        <v>1</v>
      </c>
      <c r="J6" s="7"/>
      <c r="S6" s="7"/>
    </row>
    <row r="7" spans="1:24" x14ac:dyDescent="0.25">
      <c r="B7" s="7">
        <v>0.625</v>
      </c>
      <c r="C7" s="8">
        <v>1</v>
      </c>
      <c r="D7" s="8">
        <v>8</v>
      </c>
      <c r="E7" s="8">
        <v>0</v>
      </c>
      <c r="F7" s="8">
        <v>2</v>
      </c>
      <c r="G7" s="8">
        <v>1</v>
      </c>
      <c r="J7" s="7"/>
      <c r="S7" s="7"/>
    </row>
    <row r="8" spans="1:24" x14ac:dyDescent="0.25">
      <c r="B8" s="7">
        <v>0.69791666666666696</v>
      </c>
      <c r="C8" s="8">
        <v>8</v>
      </c>
      <c r="D8" s="8">
        <v>4</v>
      </c>
      <c r="E8" s="8">
        <v>1</v>
      </c>
      <c r="F8" s="8">
        <v>0</v>
      </c>
      <c r="G8" s="8">
        <v>0</v>
      </c>
      <c r="J8" s="7"/>
      <c r="S8" s="7"/>
    </row>
    <row r="9" spans="1:24" x14ac:dyDescent="0.25">
      <c r="A9" t="s">
        <v>19</v>
      </c>
      <c r="B9" s="7">
        <v>0.33333333333333331</v>
      </c>
      <c r="C9" s="8">
        <v>0</v>
      </c>
      <c r="D9" s="8">
        <v>0</v>
      </c>
      <c r="E9" s="8">
        <v>0</v>
      </c>
      <c r="F9" s="8">
        <v>8</v>
      </c>
      <c r="G9" s="8">
        <v>0</v>
      </c>
      <c r="J9" s="7"/>
      <c r="S9" s="7"/>
    </row>
    <row r="10" spans="1:24" x14ac:dyDescent="0.25">
      <c r="B10" s="7">
        <v>0.40625</v>
      </c>
      <c r="C10" s="8">
        <v>0</v>
      </c>
      <c r="D10" s="8">
        <v>5</v>
      </c>
      <c r="E10" s="8">
        <v>0</v>
      </c>
      <c r="F10" s="8">
        <v>9</v>
      </c>
      <c r="G10" s="8">
        <v>0</v>
      </c>
      <c r="J10" s="7"/>
      <c r="S10" s="7"/>
    </row>
    <row r="11" spans="1:24" x14ac:dyDescent="0.25">
      <c r="B11" s="7">
        <v>0.47916666666666669</v>
      </c>
      <c r="C11" s="8">
        <v>6</v>
      </c>
      <c r="D11" s="8">
        <v>0</v>
      </c>
      <c r="E11" s="8">
        <v>3</v>
      </c>
      <c r="F11" s="8">
        <v>0</v>
      </c>
      <c r="G11" s="8">
        <v>1</v>
      </c>
      <c r="J11" s="7"/>
      <c r="S11" s="7"/>
    </row>
    <row r="12" spans="1:24" x14ac:dyDescent="0.25">
      <c r="B12" s="7">
        <v>0.55208333333333304</v>
      </c>
      <c r="C12" s="8">
        <v>0</v>
      </c>
      <c r="D12" s="8">
        <v>0</v>
      </c>
      <c r="E12" s="8">
        <v>0</v>
      </c>
      <c r="F12" s="8">
        <v>0</v>
      </c>
      <c r="G12" s="8">
        <v>1</v>
      </c>
      <c r="J12" s="7"/>
      <c r="S12" s="7"/>
    </row>
    <row r="13" spans="1:24" x14ac:dyDescent="0.25">
      <c r="B13" s="7">
        <v>0.625</v>
      </c>
      <c r="C13" s="8">
        <v>3</v>
      </c>
      <c r="D13" s="8">
        <v>3</v>
      </c>
      <c r="E13" s="8">
        <v>0</v>
      </c>
      <c r="F13" s="8">
        <v>6</v>
      </c>
      <c r="G13" s="8">
        <v>1</v>
      </c>
      <c r="J13" s="7"/>
      <c r="S13" s="7"/>
    </row>
    <row r="14" spans="1:24" x14ac:dyDescent="0.25">
      <c r="B14" s="7">
        <v>0.69791666666666696</v>
      </c>
      <c r="C14" s="8">
        <v>0</v>
      </c>
      <c r="D14" s="8">
        <v>0</v>
      </c>
      <c r="E14" s="8">
        <v>4</v>
      </c>
      <c r="F14" s="8">
        <v>0</v>
      </c>
      <c r="G14" s="8">
        <v>0</v>
      </c>
      <c r="J14" s="7"/>
      <c r="S14" s="7"/>
    </row>
    <row r="15" spans="1:24" x14ac:dyDescent="0.25">
      <c r="A15" t="s">
        <v>20</v>
      </c>
      <c r="B15" s="7">
        <v>0.33333333333333331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J15" s="7"/>
      <c r="S15" s="7"/>
    </row>
    <row r="16" spans="1:24" x14ac:dyDescent="0.25">
      <c r="B16" s="7">
        <v>0.40625</v>
      </c>
      <c r="C16" s="8">
        <v>0</v>
      </c>
      <c r="D16" s="8">
        <v>0</v>
      </c>
      <c r="E16" s="8">
        <v>5</v>
      </c>
      <c r="F16" s="8">
        <v>0</v>
      </c>
      <c r="G16" s="8">
        <v>0</v>
      </c>
      <c r="J16" s="7"/>
      <c r="S16" s="7"/>
    </row>
    <row r="17" spans="1:32" x14ac:dyDescent="0.25">
      <c r="B17" s="7">
        <v>0.47916666666666669</v>
      </c>
      <c r="C17" s="8">
        <v>0</v>
      </c>
      <c r="D17" s="8">
        <v>0</v>
      </c>
      <c r="E17" s="8">
        <v>0</v>
      </c>
      <c r="F17" s="8">
        <v>0</v>
      </c>
      <c r="G17" s="8">
        <v>1</v>
      </c>
      <c r="J17" s="7"/>
      <c r="S17" s="7"/>
    </row>
    <row r="18" spans="1:32" x14ac:dyDescent="0.25">
      <c r="B18" s="7">
        <v>0.55208333333333304</v>
      </c>
      <c r="C18" s="8">
        <v>0</v>
      </c>
      <c r="D18" s="8">
        <v>6</v>
      </c>
      <c r="E18" s="8">
        <v>9</v>
      </c>
      <c r="F18" s="8">
        <v>0</v>
      </c>
      <c r="G18" s="8">
        <v>1</v>
      </c>
      <c r="J18" s="7"/>
      <c r="S18" s="7"/>
    </row>
    <row r="19" spans="1:32" x14ac:dyDescent="0.25">
      <c r="B19" s="7">
        <v>0.625</v>
      </c>
      <c r="C19" s="8">
        <v>0</v>
      </c>
      <c r="D19" s="8">
        <v>0</v>
      </c>
      <c r="E19" s="8">
        <v>0</v>
      </c>
      <c r="F19" s="8">
        <v>7</v>
      </c>
      <c r="G19" s="8">
        <v>1</v>
      </c>
      <c r="J19" s="7"/>
      <c r="S19" s="7"/>
    </row>
    <row r="20" spans="1:32" x14ac:dyDescent="0.25">
      <c r="B20" s="7">
        <v>0.69791666666666696</v>
      </c>
      <c r="C20" s="8">
        <v>10</v>
      </c>
      <c r="D20" s="8">
        <v>2</v>
      </c>
      <c r="E20" s="8">
        <v>6</v>
      </c>
      <c r="F20" s="8">
        <v>10</v>
      </c>
      <c r="G20" s="8">
        <v>0</v>
      </c>
      <c r="J20" s="7"/>
      <c r="S20" s="7"/>
    </row>
    <row r="21" spans="1:32" x14ac:dyDescent="0.25">
      <c r="A21" t="s">
        <v>21</v>
      </c>
      <c r="B21" s="7">
        <v>0.33333333333333331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J21" s="7"/>
      <c r="S21" s="7"/>
    </row>
    <row r="22" spans="1:32" x14ac:dyDescent="0.25">
      <c r="B22" s="7">
        <v>0.40625</v>
      </c>
      <c r="C22" s="8">
        <v>0</v>
      </c>
      <c r="D22" s="8">
        <v>7</v>
      </c>
      <c r="E22" s="8">
        <v>0</v>
      </c>
      <c r="F22" s="8">
        <v>5</v>
      </c>
      <c r="G22" s="8">
        <v>0</v>
      </c>
      <c r="J22" s="7"/>
      <c r="S22" s="7"/>
    </row>
    <row r="23" spans="1:32" x14ac:dyDescent="0.25">
      <c r="B23" s="7">
        <v>0.47916666666666669</v>
      </c>
      <c r="C23" s="8">
        <v>4</v>
      </c>
      <c r="D23" s="8">
        <v>0</v>
      </c>
      <c r="E23" s="8">
        <v>10</v>
      </c>
      <c r="F23" s="8">
        <v>0</v>
      </c>
      <c r="G23" s="8">
        <v>1</v>
      </c>
      <c r="J23" s="7"/>
      <c r="S23" s="7"/>
    </row>
    <row r="24" spans="1:32" x14ac:dyDescent="0.25">
      <c r="B24" s="7">
        <v>0.55208333333333304</v>
      </c>
      <c r="C24" s="8">
        <v>0</v>
      </c>
      <c r="D24" s="8">
        <v>0</v>
      </c>
      <c r="E24" s="8">
        <v>0</v>
      </c>
      <c r="F24" s="8">
        <v>0</v>
      </c>
      <c r="G24" s="8">
        <v>1</v>
      </c>
      <c r="J24" s="7"/>
      <c r="S24" s="7"/>
    </row>
    <row r="25" spans="1:32" x14ac:dyDescent="0.25">
      <c r="B25" s="7">
        <v>0.625</v>
      </c>
      <c r="C25" s="8">
        <v>5</v>
      </c>
      <c r="D25" s="8">
        <v>10</v>
      </c>
      <c r="E25" s="8">
        <v>0</v>
      </c>
      <c r="F25" s="8">
        <v>3</v>
      </c>
      <c r="G25" s="8">
        <v>1</v>
      </c>
      <c r="J25" s="7"/>
      <c r="S25" s="7"/>
    </row>
    <row r="26" spans="1:32" x14ac:dyDescent="0.25">
      <c r="B26" s="7">
        <v>0.69791666666666696</v>
      </c>
      <c r="C26" s="8">
        <v>0</v>
      </c>
      <c r="D26" s="8">
        <v>9</v>
      </c>
      <c r="E26" s="8">
        <v>7</v>
      </c>
      <c r="F26" s="8">
        <v>0</v>
      </c>
      <c r="G26" s="8">
        <v>0</v>
      </c>
      <c r="J26" s="7"/>
      <c r="S26" s="7"/>
    </row>
    <row r="29" spans="1:32" x14ac:dyDescent="0.25">
      <c r="B29" s="12" t="s">
        <v>24</v>
      </c>
      <c r="K29">
        <v>2</v>
      </c>
      <c r="L29">
        <v>2</v>
      </c>
      <c r="M29">
        <v>2</v>
      </c>
      <c r="N29">
        <v>2</v>
      </c>
      <c r="O29">
        <v>2</v>
      </c>
    </row>
    <row r="30" spans="1:32" x14ac:dyDescent="0.25">
      <c r="C30" t="s">
        <v>25</v>
      </c>
      <c r="D30" t="s">
        <v>26</v>
      </c>
      <c r="E30" t="s">
        <v>27</v>
      </c>
      <c r="F30" t="s">
        <v>28</v>
      </c>
      <c r="G30" t="s">
        <v>29</v>
      </c>
      <c r="H30" t="s">
        <v>30</v>
      </c>
      <c r="I30" t="s">
        <v>31</v>
      </c>
      <c r="J30" t="s">
        <v>32</v>
      </c>
      <c r="K30" t="s">
        <v>33</v>
      </c>
      <c r="L30" t="s">
        <v>34</v>
      </c>
      <c r="M30" t="s">
        <v>35</v>
      </c>
      <c r="N30" t="s">
        <v>36</v>
      </c>
      <c r="O30" t="s">
        <v>37</v>
      </c>
      <c r="P30" t="s">
        <v>38</v>
      </c>
      <c r="Q30" t="s">
        <v>39</v>
      </c>
      <c r="R30" t="s">
        <v>40</v>
      </c>
      <c r="S30" t="s">
        <v>41</v>
      </c>
      <c r="T30" t="s">
        <v>42</v>
      </c>
      <c r="U30" t="s">
        <v>43</v>
      </c>
      <c r="V30" t="s">
        <v>44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  <c r="AB30" t="s">
        <v>50</v>
      </c>
      <c r="AC30" t="s">
        <v>51</v>
      </c>
      <c r="AD30" t="s">
        <v>52</v>
      </c>
      <c r="AE30" t="s">
        <v>53</v>
      </c>
      <c r="AF30" t="s">
        <v>54</v>
      </c>
    </row>
    <row r="31" spans="1:32" x14ac:dyDescent="0.25">
      <c r="A31" t="s">
        <v>18</v>
      </c>
      <c r="B31" s="7">
        <v>0.33333333333333331</v>
      </c>
      <c r="C31" s="8">
        <v>1</v>
      </c>
      <c r="D31" s="8">
        <v>0</v>
      </c>
      <c r="E31" s="8">
        <v>0</v>
      </c>
      <c r="F31" s="8">
        <v>1</v>
      </c>
      <c r="G31" s="8">
        <v>0</v>
      </c>
      <c r="H31" s="8">
        <v>0</v>
      </c>
      <c r="I31" s="8">
        <v>0</v>
      </c>
      <c r="J31" s="8">
        <v>0</v>
      </c>
      <c r="K31" s="8">
        <v>1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1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1</v>
      </c>
    </row>
    <row r="32" spans="1:32" x14ac:dyDescent="0.25">
      <c r="B32" s="7">
        <v>0.40625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1</v>
      </c>
      <c r="J32" s="8">
        <v>1</v>
      </c>
      <c r="K32" s="8">
        <v>1</v>
      </c>
      <c r="L32" s="8">
        <v>1</v>
      </c>
      <c r="M32" s="8">
        <v>0</v>
      </c>
      <c r="N32" s="8">
        <v>0</v>
      </c>
      <c r="O32" s="8">
        <v>1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1</v>
      </c>
      <c r="Y32" s="8">
        <v>1</v>
      </c>
      <c r="Z32" s="8">
        <v>0</v>
      </c>
      <c r="AA32" s="8">
        <v>0</v>
      </c>
      <c r="AB32" s="8">
        <v>0</v>
      </c>
      <c r="AC32" s="8">
        <v>1</v>
      </c>
      <c r="AD32" s="8">
        <v>0</v>
      </c>
      <c r="AE32" s="8">
        <v>0</v>
      </c>
      <c r="AF32" s="8">
        <v>1</v>
      </c>
    </row>
    <row r="33" spans="1:32" x14ac:dyDescent="0.25">
      <c r="B33" s="7">
        <v>0.47916666666666669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1</v>
      </c>
      <c r="Q33" s="8">
        <v>0</v>
      </c>
      <c r="R33" s="8">
        <v>1</v>
      </c>
      <c r="S33" s="8">
        <v>0</v>
      </c>
      <c r="T33" s="8">
        <v>0</v>
      </c>
      <c r="U33" s="8">
        <v>1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</row>
    <row r="34" spans="1:32" x14ac:dyDescent="0.25">
      <c r="B34" s="7">
        <v>0.55208333333333304</v>
      </c>
      <c r="C34" s="8">
        <v>0</v>
      </c>
      <c r="D34" s="8">
        <v>1</v>
      </c>
      <c r="E34" s="8">
        <v>1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1</v>
      </c>
      <c r="P34" s="8">
        <v>0</v>
      </c>
      <c r="Q34" s="8">
        <v>0</v>
      </c>
      <c r="R34" s="8">
        <v>1</v>
      </c>
      <c r="S34" s="8">
        <v>0</v>
      </c>
      <c r="T34" s="8">
        <v>0</v>
      </c>
      <c r="U34" s="8">
        <v>0</v>
      </c>
      <c r="V34" s="8">
        <v>1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1</v>
      </c>
      <c r="AE34" s="8">
        <v>1</v>
      </c>
      <c r="AF34" s="8">
        <v>1</v>
      </c>
    </row>
    <row r="35" spans="1:32" x14ac:dyDescent="0.25">
      <c r="B35" s="7">
        <v>0.625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1</v>
      </c>
      <c r="J35" s="8">
        <v>0</v>
      </c>
      <c r="K35" s="8">
        <v>0</v>
      </c>
      <c r="L35" s="8">
        <v>1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1</v>
      </c>
      <c r="Y35" s="8">
        <v>0</v>
      </c>
      <c r="Z35" s="8">
        <v>0</v>
      </c>
      <c r="AA35" s="8">
        <v>1</v>
      </c>
      <c r="AB35" s="8">
        <v>1</v>
      </c>
      <c r="AC35" s="8">
        <v>0</v>
      </c>
      <c r="AD35" s="8">
        <v>1</v>
      </c>
      <c r="AE35" s="8">
        <v>0</v>
      </c>
      <c r="AF35" s="8">
        <v>0</v>
      </c>
    </row>
    <row r="36" spans="1:32" x14ac:dyDescent="0.25">
      <c r="B36" s="7">
        <v>0.69791666666666696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1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1</v>
      </c>
      <c r="W36" s="8">
        <v>1</v>
      </c>
      <c r="X36" s="8">
        <v>0</v>
      </c>
      <c r="Y36" s="8">
        <v>0</v>
      </c>
      <c r="Z36" s="8">
        <v>1</v>
      </c>
      <c r="AA36" s="8">
        <v>0</v>
      </c>
      <c r="AB36" s="8">
        <v>1</v>
      </c>
      <c r="AC36" s="8">
        <v>0</v>
      </c>
      <c r="AD36" s="8">
        <v>1</v>
      </c>
      <c r="AE36" s="8">
        <v>0</v>
      </c>
      <c r="AF36" s="8">
        <v>0</v>
      </c>
    </row>
    <row r="37" spans="1:32" x14ac:dyDescent="0.25">
      <c r="A37" t="s">
        <v>19</v>
      </c>
      <c r="B37" s="7">
        <v>0.33333333333333331</v>
      </c>
      <c r="C37" s="8">
        <v>0</v>
      </c>
      <c r="D37" s="8">
        <v>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1</v>
      </c>
      <c r="K37" s="8">
        <v>1</v>
      </c>
      <c r="L37" s="8">
        <v>0</v>
      </c>
      <c r="M37" s="8">
        <v>0</v>
      </c>
      <c r="N37" s="8">
        <v>0</v>
      </c>
      <c r="O37" s="8">
        <v>0</v>
      </c>
      <c r="P37" s="8">
        <v>1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1</v>
      </c>
      <c r="Y37" s="8">
        <v>1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</row>
    <row r="38" spans="1:32" x14ac:dyDescent="0.25">
      <c r="B38" s="7">
        <v>0.40625</v>
      </c>
      <c r="C38" s="8">
        <v>0</v>
      </c>
      <c r="D38" s="8">
        <v>0</v>
      </c>
      <c r="E38" s="8">
        <v>0</v>
      </c>
      <c r="F38" s="8">
        <v>1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1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1</v>
      </c>
      <c r="AC38" s="8">
        <v>0</v>
      </c>
      <c r="AD38" s="8">
        <v>0</v>
      </c>
      <c r="AE38" s="8">
        <v>0</v>
      </c>
      <c r="AF38" s="8">
        <v>0</v>
      </c>
    </row>
    <row r="39" spans="1:32" x14ac:dyDescent="0.25">
      <c r="B39" s="7">
        <v>0.47916666666666669</v>
      </c>
      <c r="C39" s="8">
        <v>0</v>
      </c>
      <c r="D39" s="8">
        <v>0</v>
      </c>
      <c r="E39" s="8">
        <v>0</v>
      </c>
      <c r="F39" s="8">
        <v>0</v>
      </c>
      <c r="G39" s="8">
        <v>1</v>
      </c>
      <c r="H39" s="8">
        <v>0</v>
      </c>
      <c r="I39" s="8">
        <v>0</v>
      </c>
      <c r="J39" s="8">
        <v>0</v>
      </c>
      <c r="K39" s="8">
        <v>0</v>
      </c>
      <c r="L39" s="8">
        <v>1</v>
      </c>
      <c r="M39" s="8">
        <v>0</v>
      </c>
      <c r="N39" s="8">
        <v>1</v>
      </c>
      <c r="O39" s="8">
        <v>1</v>
      </c>
      <c r="P39" s="8">
        <v>1</v>
      </c>
      <c r="Q39" s="8">
        <v>0</v>
      </c>
      <c r="R39" s="8">
        <v>0</v>
      </c>
      <c r="S39" s="8">
        <v>0</v>
      </c>
      <c r="T39" s="8">
        <v>1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1</v>
      </c>
      <c r="AB39" s="8">
        <v>0</v>
      </c>
      <c r="AC39" s="8">
        <v>1</v>
      </c>
      <c r="AD39" s="8">
        <v>0</v>
      </c>
      <c r="AE39" s="8">
        <v>0</v>
      </c>
      <c r="AF39" s="8">
        <v>0</v>
      </c>
    </row>
    <row r="40" spans="1:32" x14ac:dyDescent="0.25">
      <c r="B40" s="7">
        <v>0.55208333333333304</v>
      </c>
      <c r="C40" s="8">
        <v>1</v>
      </c>
      <c r="D40" s="8">
        <v>1</v>
      </c>
      <c r="E40" s="8">
        <v>1</v>
      </c>
      <c r="F40" s="8">
        <v>0</v>
      </c>
      <c r="G40" s="8">
        <v>0</v>
      </c>
      <c r="H40" s="8">
        <v>1</v>
      </c>
      <c r="I40" s="8">
        <v>1</v>
      </c>
      <c r="J40" s="8">
        <v>0</v>
      </c>
      <c r="K40" s="8">
        <v>0</v>
      </c>
      <c r="L40" s="8">
        <v>1</v>
      </c>
      <c r="M40" s="8">
        <v>1</v>
      </c>
      <c r="N40" s="8">
        <v>0</v>
      </c>
      <c r="O40" s="8">
        <v>0</v>
      </c>
      <c r="P40" s="8">
        <v>0</v>
      </c>
      <c r="Q40" s="8">
        <v>0</v>
      </c>
      <c r="R40" s="8">
        <v>1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1</v>
      </c>
      <c r="AB40" s="8">
        <v>0</v>
      </c>
      <c r="AC40" s="8">
        <v>1</v>
      </c>
      <c r="AD40" s="8">
        <v>0</v>
      </c>
      <c r="AE40" s="8">
        <v>0</v>
      </c>
      <c r="AF40" s="8">
        <v>0</v>
      </c>
    </row>
    <row r="41" spans="1:32" x14ac:dyDescent="0.25">
      <c r="B41" s="7">
        <v>0.625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1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</v>
      </c>
      <c r="U41" s="8">
        <v>0</v>
      </c>
      <c r="V41" s="8">
        <v>0</v>
      </c>
      <c r="W41" s="8">
        <v>0</v>
      </c>
      <c r="X41" s="8">
        <v>0</v>
      </c>
      <c r="Y41" s="8">
        <v>1</v>
      </c>
      <c r="Z41" s="8">
        <v>0</v>
      </c>
      <c r="AA41" s="8">
        <v>0</v>
      </c>
      <c r="AB41" s="8">
        <v>0</v>
      </c>
      <c r="AC41" s="8">
        <v>0</v>
      </c>
      <c r="AD41" s="8">
        <v>1</v>
      </c>
      <c r="AE41" s="8">
        <v>1</v>
      </c>
      <c r="AF41" s="8">
        <v>0</v>
      </c>
    </row>
    <row r="42" spans="1:32" x14ac:dyDescent="0.25">
      <c r="B42" s="7">
        <v>0.69791666666666696</v>
      </c>
      <c r="C42" s="8">
        <v>1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1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1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1</v>
      </c>
      <c r="AF42" s="8">
        <v>0</v>
      </c>
    </row>
    <row r="43" spans="1:32" x14ac:dyDescent="0.25">
      <c r="A43" t="s">
        <v>20</v>
      </c>
      <c r="B43" s="7">
        <v>0.33333333333333331</v>
      </c>
      <c r="C43" s="8">
        <v>0</v>
      </c>
      <c r="D43" s="8">
        <v>0</v>
      </c>
      <c r="E43" s="8">
        <v>1</v>
      </c>
      <c r="F43" s="8">
        <v>0</v>
      </c>
      <c r="G43" s="8">
        <v>0</v>
      </c>
      <c r="H43" s="8">
        <v>0</v>
      </c>
      <c r="I43" s="8">
        <v>1</v>
      </c>
      <c r="J43" s="8">
        <v>1</v>
      </c>
      <c r="K43" s="8">
        <v>0</v>
      </c>
      <c r="L43" s="8">
        <v>0</v>
      </c>
      <c r="M43" s="8">
        <v>1</v>
      </c>
      <c r="N43" s="8">
        <v>1</v>
      </c>
      <c r="O43" s="8">
        <v>0</v>
      </c>
      <c r="P43" s="8">
        <v>0</v>
      </c>
      <c r="Q43" s="8">
        <v>1</v>
      </c>
      <c r="R43" s="8">
        <v>0</v>
      </c>
      <c r="S43" s="8">
        <v>0</v>
      </c>
      <c r="T43" s="8">
        <v>0</v>
      </c>
      <c r="U43" s="8">
        <v>1</v>
      </c>
      <c r="V43" s="8">
        <v>1</v>
      </c>
      <c r="W43" s="8">
        <v>0</v>
      </c>
      <c r="X43" s="8">
        <v>1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1</v>
      </c>
      <c r="AE43" s="8">
        <v>0</v>
      </c>
      <c r="AF43" s="8">
        <v>0</v>
      </c>
    </row>
    <row r="44" spans="1:32" x14ac:dyDescent="0.25">
      <c r="B44" s="7">
        <v>0.40625</v>
      </c>
      <c r="C44" s="8">
        <v>1</v>
      </c>
      <c r="D44" s="8">
        <v>0</v>
      </c>
      <c r="E44" s="8">
        <v>0</v>
      </c>
      <c r="F44" s="8">
        <v>1</v>
      </c>
      <c r="G44" s="8">
        <v>0</v>
      </c>
      <c r="H44" s="8">
        <v>1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1</v>
      </c>
      <c r="R44" s="8">
        <v>0</v>
      </c>
      <c r="S44" s="8">
        <v>0</v>
      </c>
      <c r="T44" s="8">
        <v>1</v>
      </c>
      <c r="U44" s="8">
        <v>1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1</v>
      </c>
      <c r="AD44" s="8">
        <v>0</v>
      </c>
      <c r="AE44" s="8">
        <v>1</v>
      </c>
      <c r="AF44" s="8">
        <v>0</v>
      </c>
    </row>
    <row r="45" spans="1:32" x14ac:dyDescent="0.25">
      <c r="B45" s="7">
        <v>0.47916666666666669</v>
      </c>
      <c r="C45" s="8">
        <v>0</v>
      </c>
      <c r="D45" s="8">
        <v>0</v>
      </c>
      <c r="E45" s="8">
        <v>1</v>
      </c>
      <c r="F45" s="8">
        <v>1</v>
      </c>
      <c r="G45" s="8">
        <v>1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1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</row>
    <row r="46" spans="1:32" x14ac:dyDescent="0.25">
      <c r="B46" s="7">
        <v>0.55208333333333304</v>
      </c>
      <c r="C46" s="8">
        <v>0</v>
      </c>
      <c r="D46" s="8">
        <v>0</v>
      </c>
      <c r="E46" s="8">
        <v>0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1</v>
      </c>
      <c r="L46" s="8">
        <v>0</v>
      </c>
      <c r="M46" s="8">
        <v>1</v>
      </c>
      <c r="N46" s="8">
        <v>0</v>
      </c>
      <c r="O46" s="8">
        <v>0</v>
      </c>
      <c r="P46" s="8">
        <v>0</v>
      </c>
      <c r="Q46" s="8">
        <v>1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1</v>
      </c>
      <c r="Z46" s="8">
        <v>1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1</v>
      </c>
    </row>
    <row r="47" spans="1:32" x14ac:dyDescent="0.25">
      <c r="B47" s="7">
        <v>0.625</v>
      </c>
      <c r="C47" s="8">
        <v>1</v>
      </c>
      <c r="D47" s="8">
        <v>0</v>
      </c>
      <c r="E47" s="8">
        <v>0</v>
      </c>
      <c r="F47" s="8">
        <v>1</v>
      </c>
      <c r="G47" s="8">
        <v>0</v>
      </c>
      <c r="H47" s="8">
        <v>0</v>
      </c>
      <c r="I47" s="8">
        <v>0</v>
      </c>
      <c r="J47" s="8">
        <v>0</v>
      </c>
      <c r="K47" s="8">
        <v>1</v>
      </c>
      <c r="L47" s="8">
        <v>1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1</v>
      </c>
      <c r="T47" s="8">
        <v>1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1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</row>
    <row r="48" spans="1:32" x14ac:dyDescent="0.25">
      <c r="B48" s="7">
        <v>0.69791666666666696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1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1</v>
      </c>
      <c r="R48" s="8">
        <v>0</v>
      </c>
      <c r="S48" s="8">
        <v>1</v>
      </c>
      <c r="T48" s="8">
        <v>0</v>
      </c>
      <c r="U48" s="8">
        <v>0</v>
      </c>
      <c r="V48" s="8">
        <v>1</v>
      </c>
      <c r="W48" s="8">
        <v>1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1</v>
      </c>
      <c r="AF48" s="8">
        <v>0</v>
      </c>
    </row>
    <row r="49" spans="1:32" x14ac:dyDescent="0.25">
      <c r="A49" t="s">
        <v>21</v>
      </c>
      <c r="B49" s="7">
        <v>0.33333333333333331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1</v>
      </c>
      <c r="O49" s="8">
        <v>0</v>
      </c>
      <c r="P49" s="8">
        <v>0</v>
      </c>
      <c r="Q49" s="8">
        <v>0</v>
      </c>
      <c r="R49" s="8">
        <v>1</v>
      </c>
      <c r="S49" s="8">
        <v>1</v>
      </c>
      <c r="T49" s="8">
        <v>1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1</v>
      </c>
      <c r="AA49" s="8">
        <v>1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</row>
    <row r="50" spans="1:32" x14ac:dyDescent="0.25">
      <c r="B50" s="7">
        <v>0.40625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1</v>
      </c>
      <c r="I50" s="8">
        <v>0</v>
      </c>
      <c r="J50" s="8">
        <v>0</v>
      </c>
      <c r="K50" s="8">
        <v>0</v>
      </c>
      <c r="L50" s="8">
        <v>0</v>
      </c>
      <c r="M50" s="8">
        <v>1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1</v>
      </c>
      <c r="Y50" s="8">
        <v>0</v>
      </c>
      <c r="Z50" s="8">
        <v>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</row>
    <row r="51" spans="1:32" x14ac:dyDescent="0.25">
      <c r="B51" s="7">
        <v>0.47916666666666669</v>
      </c>
      <c r="C51" s="8">
        <v>0</v>
      </c>
      <c r="D51" s="8">
        <v>1</v>
      </c>
      <c r="E51" s="8">
        <v>0</v>
      </c>
      <c r="F51" s="8">
        <v>0</v>
      </c>
      <c r="G51" s="8">
        <v>1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1</v>
      </c>
      <c r="O51" s="8">
        <v>0</v>
      </c>
      <c r="P51" s="8">
        <v>1</v>
      </c>
      <c r="Q51" s="8">
        <v>0</v>
      </c>
      <c r="R51" s="8">
        <v>1</v>
      </c>
      <c r="S51" s="8">
        <v>0</v>
      </c>
      <c r="T51" s="8">
        <v>0</v>
      </c>
      <c r="U51" s="8">
        <v>0</v>
      </c>
      <c r="V51" s="8">
        <v>0</v>
      </c>
      <c r="W51" s="8">
        <v>1</v>
      </c>
      <c r="X51" s="8">
        <v>0</v>
      </c>
      <c r="Y51" s="8">
        <v>0</v>
      </c>
      <c r="Z51" s="8">
        <v>0</v>
      </c>
      <c r="AA51" s="8">
        <v>0</v>
      </c>
      <c r="AB51" s="8">
        <v>1</v>
      </c>
      <c r="AC51" s="8">
        <v>0</v>
      </c>
      <c r="AD51" s="8">
        <v>0</v>
      </c>
      <c r="AE51" s="8">
        <v>0</v>
      </c>
      <c r="AF51" s="8">
        <v>1</v>
      </c>
    </row>
    <row r="52" spans="1:32" x14ac:dyDescent="0.25">
      <c r="B52" s="7">
        <v>0.55208333333333304</v>
      </c>
      <c r="C52" s="8">
        <v>0</v>
      </c>
      <c r="D52" s="8">
        <v>1</v>
      </c>
      <c r="E52" s="8">
        <v>0</v>
      </c>
      <c r="F52" s="8">
        <v>0</v>
      </c>
      <c r="G52" s="8">
        <v>1</v>
      </c>
      <c r="H52" s="8">
        <v>0</v>
      </c>
      <c r="I52" s="8">
        <v>1</v>
      </c>
      <c r="J52" s="8">
        <v>1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1</v>
      </c>
      <c r="T52" s="8">
        <v>0</v>
      </c>
      <c r="U52" s="8">
        <v>1</v>
      </c>
      <c r="V52" s="8">
        <v>0</v>
      </c>
      <c r="W52" s="8">
        <v>1</v>
      </c>
      <c r="X52" s="8">
        <v>0</v>
      </c>
      <c r="Y52" s="8">
        <v>1</v>
      </c>
      <c r="Z52" s="8">
        <v>1</v>
      </c>
      <c r="AA52" s="8">
        <v>0</v>
      </c>
      <c r="AB52" s="8">
        <v>1</v>
      </c>
      <c r="AC52" s="8">
        <v>0</v>
      </c>
      <c r="AD52" s="8">
        <v>0</v>
      </c>
      <c r="AE52" s="8">
        <v>0</v>
      </c>
      <c r="AF52" s="8">
        <v>0</v>
      </c>
    </row>
    <row r="53" spans="1:32" x14ac:dyDescent="0.25">
      <c r="B53" s="7">
        <v>0.625</v>
      </c>
      <c r="C53" s="8">
        <v>0</v>
      </c>
      <c r="D53" s="8">
        <v>0</v>
      </c>
      <c r="E53" s="8">
        <v>1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1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1</v>
      </c>
      <c r="V53" s="8">
        <v>1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1</v>
      </c>
      <c r="AD53" s="8">
        <v>0</v>
      </c>
      <c r="AE53" s="8">
        <v>0</v>
      </c>
      <c r="AF53" s="8">
        <v>0</v>
      </c>
    </row>
    <row r="54" spans="1:32" x14ac:dyDescent="0.25">
      <c r="B54" s="7">
        <v>0.69791666666666696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1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1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646A2-C784-4175-B61E-D0BA3B1C6D8C}">
  <dimension ref="A1:AF54"/>
  <sheetViews>
    <sheetView workbookViewId="0">
      <selection activeCell="C31" sqref="C31:AF54"/>
    </sheetView>
  </sheetViews>
  <sheetFormatPr defaultRowHeight="15" x14ac:dyDescent="0.25"/>
  <cols>
    <col min="1" max="1" width="15.85546875" customWidth="1"/>
    <col min="2" max="2" width="14.140625" customWidth="1"/>
    <col min="3" max="7" width="14.42578125" customWidth="1"/>
    <col min="8" max="31" width="8.5703125" customWidth="1"/>
    <col min="32" max="32" width="14.28515625" customWidth="1"/>
  </cols>
  <sheetData>
    <row r="1" spans="1:7" x14ac:dyDescent="0.25">
      <c r="C1" s="12" t="s">
        <v>11</v>
      </c>
    </row>
    <row r="2" spans="1:7" x14ac:dyDescent="0.25">
      <c r="C2" t="s">
        <v>13</v>
      </c>
      <c r="D2" t="s">
        <v>14</v>
      </c>
      <c r="E2" t="s">
        <v>15</v>
      </c>
      <c r="F2" t="s">
        <v>16</v>
      </c>
      <c r="G2" s="12" t="s">
        <v>17</v>
      </c>
    </row>
    <row r="3" spans="1:7" x14ac:dyDescent="0.25">
      <c r="A3" t="s">
        <v>18</v>
      </c>
      <c r="B3" s="7">
        <v>0.33333333333333331</v>
      </c>
      <c r="C3" s="8">
        <v>2</v>
      </c>
      <c r="D3" s="8">
        <v>0</v>
      </c>
      <c r="E3" s="8">
        <v>6</v>
      </c>
      <c r="F3" s="8">
        <v>0</v>
      </c>
      <c r="G3" s="8">
        <v>1</v>
      </c>
    </row>
    <row r="4" spans="1:7" x14ac:dyDescent="0.25">
      <c r="B4" s="7">
        <v>0.40625</v>
      </c>
      <c r="C4" s="8">
        <v>4</v>
      </c>
      <c r="D4" s="8">
        <v>0</v>
      </c>
      <c r="E4" s="8">
        <v>10</v>
      </c>
      <c r="F4" s="8">
        <v>0</v>
      </c>
      <c r="G4" s="8">
        <v>1</v>
      </c>
    </row>
    <row r="5" spans="1:7" x14ac:dyDescent="0.25">
      <c r="B5" s="7">
        <v>0.47916666666666669</v>
      </c>
      <c r="C5" s="8">
        <v>3</v>
      </c>
      <c r="D5" s="8">
        <v>2</v>
      </c>
      <c r="E5" s="8">
        <v>2</v>
      </c>
      <c r="F5" s="8">
        <v>2</v>
      </c>
      <c r="G5" s="8">
        <v>1</v>
      </c>
    </row>
    <row r="6" spans="1:7" x14ac:dyDescent="0.25">
      <c r="B6" s="7">
        <v>0.55208333333333304</v>
      </c>
      <c r="C6" s="8">
        <v>0</v>
      </c>
      <c r="D6" s="8">
        <v>4</v>
      </c>
      <c r="E6" s="8">
        <v>4</v>
      </c>
      <c r="F6" s="8">
        <v>1</v>
      </c>
      <c r="G6" s="8">
        <v>0</v>
      </c>
    </row>
    <row r="7" spans="1:7" x14ac:dyDescent="0.25">
      <c r="B7" s="7">
        <v>0.625</v>
      </c>
      <c r="C7" s="8">
        <v>0</v>
      </c>
      <c r="D7" s="8">
        <v>0</v>
      </c>
      <c r="E7" s="8">
        <v>0</v>
      </c>
      <c r="F7" s="8">
        <v>10</v>
      </c>
      <c r="G7" s="8">
        <v>0</v>
      </c>
    </row>
    <row r="8" spans="1:7" x14ac:dyDescent="0.25">
      <c r="B8" s="7">
        <v>0.69791666666666696</v>
      </c>
      <c r="C8" s="8">
        <v>9</v>
      </c>
      <c r="D8" s="8">
        <v>0</v>
      </c>
      <c r="E8" s="8">
        <v>0</v>
      </c>
      <c r="F8" s="8">
        <v>0</v>
      </c>
      <c r="G8" s="8">
        <v>1</v>
      </c>
    </row>
    <row r="9" spans="1:7" x14ac:dyDescent="0.25">
      <c r="A9" t="s">
        <v>19</v>
      </c>
      <c r="B9" s="7">
        <v>0.33333333333333331</v>
      </c>
      <c r="C9" s="8">
        <v>0</v>
      </c>
      <c r="D9" s="8">
        <v>0</v>
      </c>
      <c r="E9" s="8">
        <v>0</v>
      </c>
      <c r="F9" s="8">
        <v>8</v>
      </c>
      <c r="G9" s="8">
        <v>1</v>
      </c>
    </row>
    <row r="10" spans="1:7" x14ac:dyDescent="0.25">
      <c r="B10" s="7">
        <v>0.40625</v>
      </c>
      <c r="C10" s="8">
        <v>0</v>
      </c>
      <c r="D10" s="8">
        <v>1</v>
      </c>
      <c r="E10" s="8">
        <v>0</v>
      </c>
      <c r="F10" s="8">
        <v>6</v>
      </c>
      <c r="G10" s="8">
        <v>1</v>
      </c>
    </row>
    <row r="11" spans="1:7" x14ac:dyDescent="0.25">
      <c r="B11" s="7">
        <v>0.47916666666666669</v>
      </c>
      <c r="C11" s="8">
        <v>0</v>
      </c>
      <c r="D11" s="8">
        <v>0</v>
      </c>
      <c r="E11" s="8">
        <v>3</v>
      </c>
      <c r="F11" s="8">
        <v>0</v>
      </c>
      <c r="G11" s="8">
        <v>1</v>
      </c>
    </row>
    <row r="12" spans="1:7" x14ac:dyDescent="0.25">
      <c r="B12" s="7">
        <v>0.55208333333333304</v>
      </c>
      <c r="C12" s="8">
        <v>0</v>
      </c>
      <c r="D12" s="8">
        <v>0</v>
      </c>
      <c r="E12" s="8">
        <v>0</v>
      </c>
      <c r="F12" s="8">
        <v>0</v>
      </c>
      <c r="G12" s="8">
        <v>1</v>
      </c>
    </row>
    <row r="13" spans="1:7" x14ac:dyDescent="0.25">
      <c r="B13" s="7">
        <v>0.625</v>
      </c>
      <c r="C13" s="8">
        <v>10</v>
      </c>
      <c r="D13" s="8">
        <v>6</v>
      </c>
      <c r="E13" s="8">
        <v>0</v>
      </c>
      <c r="F13" s="8">
        <v>9</v>
      </c>
      <c r="G13" s="8">
        <v>0</v>
      </c>
    </row>
    <row r="14" spans="1:7" x14ac:dyDescent="0.25">
      <c r="B14" s="7">
        <v>0.69791666666666696</v>
      </c>
      <c r="C14" s="8">
        <v>0</v>
      </c>
      <c r="D14" s="8">
        <v>7</v>
      </c>
      <c r="E14" s="8">
        <v>7</v>
      </c>
      <c r="F14" s="8">
        <v>0</v>
      </c>
      <c r="G14" s="8">
        <v>0</v>
      </c>
    </row>
    <row r="15" spans="1:7" x14ac:dyDescent="0.25">
      <c r="A15" t="s">
        <v>20</v>
      </c>
      <c r="B15" s="7">
        <v>0.33333333333333331</v>
      </c>
      <c r="C15" s="8">
        <v>5</v>
      </c>
      <c r="D15" s="8">
        <v>0</v>
      </c>
      <c r="E15" s="8">
        <v>1</v>
      </c>
      <c r="F15" s="8">
        <v>0</v>
      </c>
      <c r="G15" s="8">
        <v>1</v>
      </c>
    </row>
    <row r="16" spans="1:7" x14ac:dyDescent="0.25">
      <c r="B16" s="7">
        <v>0.40625</v>
      </c>
      <c r="C16" s="8">
        <v>8</v>
      </c>
      <c r="D16" s="8">
        <v>0</v>
      </c>
      <c r="E16" s="8">
        <v>5</v>
      </c>
      <c r="F16" s="8">
        <v>0</v>
      </c>
      <c r="G16" s="8">
        <v>1</v>
      </c>
    </row>
    <row r="17" spans="1:32" x14ac:dyDescent="0.25">
      <c r="B17" s="7">
        <v>0.47916666666666669</v>
      </c>
      <c r="C17" s="8">
        <v>0</v>
      </c>
      <c r="D17" s="8">
        <v>10</v>
      </c>
      <c r="E17" s="8">
        <v>0</v>
      </c>
      <c r="F17" s="8">
        <v>3</v>
      </c>
      <c r="G17" s="8">
        <v>1</v>
      </c>
    </row>
    <row r="18" spans="1:32" x14ac:dyDescent="0.25">
      <c r="B18" s="7">
        <v>0.55208333333333304</v>
      </c>
      <c r="C18" s="8">
        <v>0</v>
      </c>
      <c r="D18" s="8">
        <v>8</v>
      </c>
      <c r="E18" s="8">
        <v>0</v>
      </c>
      <c r="F18" s="8">
        <v>4</v>
      </c>
      <c r="G18" s="8">
        <v>0</v>
      </c>
    </row>
    <row r="19" spans="1:32" x14ac:dyDescent="0.25">
      <c r="B19" s="7">
        <v>0.625</v>
      </c>
      <c r="C19" s="8">
        <v>1</v>
      </c>
      <c r="D19" s="8">
        <v>3</v>
      </c>
      <c r="E19" s="8">
        <v>0</v>
      </c>
      <c r="F19" s="8">
        <v>7</v>
      </c>
      <c r="G19" s="8">
        <v>0</v>
      </c>
    </row>
    <row r="20" spans="1:32" x14ac:dyDescent="0.25">
      <c r="B20" s="7">
        <v>0.69791666666666696</v>
      </c>
      <c r="C20" s="8">
        <v>7</v>
      </c>
      <c r="D20" s="8">
        <v>0</v>
      </c>
      <c r="E20" s="8">
        <v>0</v>
      </c>
      <c r="F20" s="8">
        <v>0</v>
      </c>
      <c r="G20" s="8">
        <v>1</v>
      </c>
    </row>
    <row r="21" spans="1:32" x14ac:dyDescent="0.25">
      <c r="A21" t="s">
        <v>21</v>
      </c>
      <c r="B21" s="7">
        <v>0.33333333333333331</v>
      </c>
      <c r="C21" s="8">
        <v>0</v>
      </c>
      <c r="D21" s="8">
        <v>0</v>
      </c>
      <c r="E21" s="8">
        <v>0</v>
      </c>
      <c r="F21" s="8">
        <v>0</v>
      </c>
      <c r="G21" s="8">
        <v>1</v>
      </c>
    </row>
    <row r="22" spans="1:32" x14ac:dyDescent="0.25">
      <c r="B22" s="7">
        <v>0.40625</v>
      </c>
      <c r="C22" s="8">
        <v>0</v>
      </c>
      <c r="D22" s="8">
        <v>5</v>
      </c>
      <c r="E22" s="8">
        <v>0</v>
      </c>
      <c r="F22" s="8">
        <v>0</v>
      </c>
      <c r="G22" s="8">
        <v>1</v>
      </c>
    </row>
    <row r="23" spans="1:32" x14ac:dyDescent="0.25">
      <c r="B23" s="7">
        <v>0.47916666666666669</v>
      </c>
      <c r="C23" s="8">
        <v>6</v>
      </c>
      <c r="D23" s="8">
        <v>0</v>
      </c>
      <c r="E23" s="8">
        <v>8</v>
      </c>
      <c r="F23" s="8">
        <v>0</v>
      </c>
      <c r="G23" s="8">
        <v>1</v>
      </c>
    </row>
    <row r="24" spans="1:32" x14ac:dyDescent="0.25">
      <c r="B24" s="7">
        <v>0.55208333333333304</v>
      </c>
      <c r="C24" s="8">
        <v>0</v>
      </c>
      <c r="D24" s="8">
        <v>0</v>
      </c>
      <c r="E24" s="8">
        <v>0</v>
      </c>
      <c r="F24" s="8">
        <v>0</v>
      </c>
      <c r="G24" s="8">
        <v>1</v>
      </c>
    </row>
    <row r="25" spans="1:32" x14ac:dyDescent="0.25">
      <c r="B25" s="7">
        <v>0.625</v>
      </c>
      <c r="C25" s="8">
        <v>0</v>
      </c>
      <c r="D25" s="8">
        <v>9</v>
      </c>
      <c r="E25" s="8">
        <v>0</v>
      </c>
      <c r="F25" s="8">
        <v>5</v>
      </c>
      <c r="G25" s="8">
        <v>0</v>
      </c>
    </row>
    <row r="26" spans="1:32" x14ac:dyDescent="0.25">
      <c r="B26" s="7">
        <v>0.69791666666666696</v>
      </c>
      <c r="C26" s="8">
        <v>0</v>
      </c>
      <c r="D26" s="8">
        <v>0</v>
      </c>
      <c r="E26" s="8">
        <v>9</v>
      </c>
      <c r="F26" s="8">
        <v>0</v>
      </c>
      <c r="G26" s="8">
        <v>0</v>
      </c>
    </row>
    <row r="29" spans="1:32" x14ac:dyDescent="0.25">
      <c r="B29" s="12" t="s">
        <v>24</v>
      </c>
    </row>
    <row r="30" spans="1:32" x14ac:dyDescent="0.25">
      <c r="C30" t="s">
        <v>25</v>
      </c>
      <c r="D30" t="s">
        <v>26</v>
      </c>
      <c r="E30" t="s">
        <v>27</v>
      </c>
      <c r="F30" t="s">
        <v>28</v>
      </c>
      <c r="G30" t="s">
        <v>29</v>
      </c>
      <c r="H30" t="s">
        <v>30</v>
      </c>
      <c r="I30" t="s">
        <v>31</v>
      </c>
      <c r="J30" t="s">
        <v>32</v>
      </c>
      <c r="K30" t="s">
        <v>33</v>
      </c>
      <c r="L30" t="s">
        <v>34</v>
      </c>
      <c r="M30" t="s">
        <v>35</v>
      </c>
      <c r="N30" t="s">
        <v>36</v>
      </c>
      <c r="O30" t="s">
        <v>37</v>
      </c>
      <c r="P30" t="s">
        <v>38</v>
      </c>
      <c r="Q30" t="s">
        <v>39</v>
      </c>
      <c r="R30" t="s">
        <v>40</v>
      </c>
      <c r="S30" t="s">
        <v>41</v>
      </c>
      <c r="T30" t="s">
        <v>42</v>
      </c>
      <c r="U30" t="s">
        <v>43</v>
      </c>
      <c r="V30" t="s">
        <v>44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  <c r="AB30" t="s">
        <v>50</v>
      </c>
      <c r="AC30" t="s">
        <v>51</v>
      </c>
      <c r="AD30" t="s">
        <v>52</v>
      </c>
      <c r="AE30" t="s">
        <v>53</v>
      </c>
      <c r="AF30" t="s">
        <v>54</v>
      </c>
    </row>
    <row r="31" spans="1:32" x14ac:dyDescent="0.25">
      <c r="A31" t="s">
        <v>18</v>
      </c>
      <c r="B31" s="7">
        <v>0.33333333333333331</v>
      </c>
      <c r="C31" s="8">
        <v>0</v>
      </c>
      <c r="D31" s="8">
        <v>0</v>
      </c>
      <c r="E31" s="8">
        <v>0</v>
      </c>
      <c r="F31" s="8">
        <v>0</v>
      </c>
      <c r="G31" s="8">
        <v>1</v>
      </c>
      <c r="H31" s="8">
        <v>1</v>
      </c>
      <c r="I31" s="8">
        <v>1</v>
      </c>
      <c r="J31" s="8">
        <v>1</v>
      </c>
      <c r="K31" s="8">
        <v>1</v>
      </c>
      <c r="L31" s="8">
        <v>0</v>
      </c>
      <c r="M31" s="8">
        <v>0</v>
      </c>
      <c r="N31" s="8">
        <v>1</v>
      </c>
      <c r="O31" s="8">
        <v>0</v>
      </c>
      <c r="P31" s="8">
        <v>1</v>
      </c>
      <c r="Q31" s="8">
        <v>1</v>
      </c>
      <c r="R31" s="8">
        <v>0</v>
      </c>
      <c r="S31" s="8">
        <v>1</v>
      </c>
      <c r="T31" s="8">
        <v>0</v>
      </c>
      <c r="U31" s="8">
        <v>1</v>
      </c>
      <c r="V31" s="8">
        <v>0</v>
      </c>
      <c r="W31" s="8">
        <v>1</v>
      </c>
      <c r="X31" s="8">
        <v>1</v>
      </c>
      <c r="Y31" s="8">
        <v>0</v>
      </c>
      <c r="Z31" s="8">
        <v>1</v>
      </c>
      <c r="AA31" s="8">
        <v>0</v>
      </c>
      <c r="AB31" s="8">
        <v>0</v>
      </c>
      <c r="AC31" s="8">
        <v>1</v>
      </c>
      <c r="AD31" s="8">
        <v>1</v>
      </c>
      <c r="AE31" s="8">
        <v>0</v>
      </c>
      <c r="AF31" s="8">
        <v>0</v>
      </c>
    </row>
    <row r="32" spans="1:32" x14ac:dyDescent="0.25">
      <c r="B32" s="7">
        <v>0.40625</v>
      </c>
      <c r="C32" s="8">
        <v>1</v>
      </c>
      <c r="D32" s="8">
        <v>1</v>
      </c>
      <c r="E32" s="8">
        <v>1</v>
      </c>
      <c r="F32" s="8">
        <v>0</v>
      </c>
      <c r="G32" s="8">
        <v>1</v>
      </c>
      <c r="H32" s="8">
        <v>0</v>
      </c>
      <c r="I32" s="8">
        <v>1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1</v>
      </c>
      <c r="P32" s="8">
        <v>0</v>
      </c>
      <c r="Q32" s="8">
        <v>0</v>
      </c>
      <c r="R32" s="8">
        <v>1</v>
      </c>
      <c r="S32" s="8">
        <v>0</v>
      </c>
      <c r="T32" s="8">
        <v>0</v>
      </c>
      <c r="U32" s="8">
        <v>1</v>
      </c>
      <c r="V32" s="8">
        <v>0</v>
      </c>
      <c r="W32" s="8">
        <v>1</v>
      </c>
      <c r="X32" s="8">
        <v>1</v>
      </c>
      <c r="Y32" s="8">
        <v>0</v>
      </c>
      <c r="Z32" s="8">
        <v>0</v>
      </c>
      <c r="AA32" s="8">
        <v>1</v>
      </c>
      <c r="AB32" s="8">
        <v>1</v>
      </c>
      <c r="AC32" s="8">
        <v>0</v>
      </c>
      <c r="AD32" s="8">
        <v>0</v>
      </c>
      <c r="AE32" s="8">
        <v>0</v>
      </c>
      <c r="AF32" s="8">
        <v>0</v>
      </c>
    </row>
    <row r="33" spans="1:32" x14ac:dyDescent="0.25">
      <c r="B33" s="7">
        <v>0.47916666666666669</v>
      </c>
      <c r="C33" s="8">
        <v>0</v>
      </c>
      <c r="D33" s="8">
        <v>0</v>
      </c>
      <c r="E33" s="8">
        <v>1</v>
      </c>
      <c r="F33" s="8">
        <v>0</v>
      </c>
      <c r="G33" s="8">
        <v>1</v>
      </c>
      <c r="H33" s="8">
        <v>0</v>
      </c>
      <c r="I33" s="8">
        <v>0</v>
      </c>
      <c r="J33" s="8">
        <v>1</v>
      </c>
      <c r="K33" s="8">
        <v>0</v>
      </c>
      <c r="L33" s="8">
        <v>1</v>
      </c>
      <c r="M33" s="8">
        <v>1</v>
      </c>
      <c r="N33" s="8">
        <v>0</v>
      </c>
      <c r="O33" s="8">
        <v>0</v>
      </c>
      <c r="P33" s="8">
        <v>1</v>
      </c>
      <c r="Q33" s="8">
        <v>0</v>
      </c>
      <c r="R33" s="8">
        <v>0</v>
      </c>
      <c r="S33" s="8">
        <v>0</v>
      </c>
      <c r="T33" s="8">
        <v>1</v>
      </c>
      <c r="U33" s="8">
        <v>0</v>
      </c>
      <c r="V33" s="8">
        <v>1</v>
      </c>
      <c r="W33" s="8">
        <v>1</v>
      </c>
      <c r="X33" s="8">
        <v>0</v>
      </c>
      <c r="Y33" s="8">
        <v>1</v>
      </c>
      <c r="Z33" s="8">
        <v>0</v>
      </c>
      <c r="AA33" s="8">
        <v>0</v>
      </c>
      <c r="AB33" s="8">
        <v>0</v>
      </c>
      <c r="AC33" s="8">
        <v>1</v>
      </c>
      <c r="AD33" s="8">
        <v>0</v>
      </c>
      <c r="AE33" s="8">
        <v>0</v>
      </c>
      <c r="AF33" s="8">
        <v>0</v>
      </c>
    </row>
    <row r="34" spans="1:32" x14ac:dyDescent="0.25">
      <c r="B34" s="7">
        <v>0.55208333333333304</v>
      </c>
      <c r="C34" s="8">
        <v>0</v>
      </c>
      <c r="D34" s="8">
        <v>1</v>
      </c>
      <c r="E34" s="8">
        <v>1</v>
      </c>
      <c r="F34" s="8">
        <v>0</v>
      </c>
      <c r="G34" s="8">
        <v>0</v>
      </c>
      <c r="H34" s="8">
        <v>0</v>
      </c>
      <c r="I34" s="8">
        <v>0</v>
      </c>
      <c r="J34" s="8">
        <v>1</v>
      </c>
      <c r="K34" s="8">
        <v>0</v>
      </c>
      <c r="L34" s="8">
        <v>0</v>
      </c>
      <c r="M34" s="8">
        <v>0</v>
      </c>
      <c r="N34" s="8">
        <v>1</v>
      </c>
      <c r="O34" s="8">
        <v>0</v>
      </c>
      <c r="P34" s="8">
        <v>1</v>
      </c>
      <c r="Q34" s="8">
        <v>0</v>
      </c>
      <c r="R34" s="8">
        <v>1</v>
      </c>
      <c r="S34" s="8">
        <v>1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1</v>
      </c>
      <c r="AB34" s="8">
        <v>1</v>
      </c>
      <c r="AC34" s="8">
        <v>0</v>
      </c>
      <c r="AD34" s="8">
        <v>0</v>
      </c>
      <c r="AE34" s="8">
        <v>0</v>
      </c>
      <c r="AF34" s="8">
        <v>1</v>
      </c>
    </row>
    <row r="35" spans="1:32" x14ac:dyDescent="0.25">
      <c r="B35" s="7">
        <v>0.625</v>
      </c>
      <c r="C35" s="8">
        <v>1</v>
      </c>
      <c r="D35" s="8">
        <v>1</v>
      </c>
      <c r="E35" s="8">
        <v>0</v>
      </c>
      <c r="F35" s="8">
        <v>0</v>
      </c>
      <c r="G35" s="8">
        <v>0</v>
      </c>
      <c r="H35" s="8">
        <v>1</v>
      </c>
      <c r="I35" s="8">
        <v>1</v>
      </c>
      <c r="J35" s="8">
        <v>0</v>
      </c>
      <c r="K35" s="8">
        <v>0</v>
      </c>
      <c r="L35" s="8">
        <v>0</v>
      </c>
      <c r="M35" s="8">
        <v>0</v>
      </c>
      <c r="N35" s="8">
        <v>1</v>
      </c>
      <c r="O35" s="8">
        <v>0</v>
      </c>
      <c r="P35" s="8">
        <v>0</v>
      </c>
      <c r="Q35" s="8">
        <v>1</v>
      </c>
      <c r="R35" s="8">
        <v>0</v>
      </c>
      <c r="S35" s="8">
        <v>0</v>
      </c>
      <c r="T35" s="8">
        <v>0</v>
      </c>
      <c r="U35" s="8">
        <v>1</v>
      </c>
      <c r="V35" s="8">
        <v>1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1</v>
      </c>
      <c r="AD35" s="8">
        <v>0</v>
      </c>
      <c r="AE35" s="8">
        <v>1</v>
      </c>
      <c r="AF35" s="8">
        <v>1</v>
      </c>
    </row>
    <row r="36" spans="1:32" x14ac:dyDescent="0.25">
      <c r="B36" s="7">
        <v>0.69791666666666696</v>
      </c>
      <c r="C36" s="8">
        <v>0</v>
      </c>
      <c r="D36" s="8">
        <v>0</v>
      </c>
      <c r="E36" s="8">
        <v>1</v>
      </c>
      <c r="F36" s="8">
        <v>1</v>
      </c>
      <c r="G36" s="8">
        <v>0</v>
      </c>
      <c r="H36" s="8">
        <v>0</v>
      </c>
      <c r="I36" s="8">
        <v>0</v>
      </c>
      <c r="J36" s="8">
        <v>0</v>
      </c>
      <c r="K36" s="8">
        <v>1</v>
      </c>
      <c r="L36" s="8">
        <v>0</v>
      </c>
      <c r="M36" s="8">
        <v>1</v>
      </c>
      <c r="N36" s="8">
        <v>0</v>
      </c>
      <c r="O36" s="8">
        <v>0</v>
      </c>
      <c r="P36" s="8">
        <v>0</v>
      </c>
      <c r="Q36" s="8">
        <v>1</v>
      </c>
      <c r="R36" s="8">
        <v>1</v>
      </c>
      <c r="S36" s="8">
        <v>1</v>
      </c>
      <c r="T36" s="8">
        <v>1</v>
      </c>
      <c r="U36" s="8">
        <v>1</v>
      </c>
      <c r="V36" s="8">
        <v>1</v>
      </c>
      <c r="W36" s="8">
        <v>1</v>
      </c>
      <c r="X36" s="8">
        <v>0</v>
      </c>
      <c r="Y36" s="8">
        <v>0</v>
      </c>
      <c r="Z36" s="8">
        <v>1</v>
      </c>
      <c r="AA36" s="8">
        <v>1</v>
      </c>
      <c r="AB36" s="8">
        <v>0</v>
      </c>
      <c r="AC36" s="8">
        <v>0</v>
      </c>
      <c r="AD36" s="8">
        <v>1</v>
      </c>
      <c r="AE36" s="8">
        <v>1</v>
      </c>
      <c r="AF36" s="8">
        <v>1</v>
      </c>
    </row>
    <row r="37" spans="1:32" x14ac:dyDescent="0.25">
      <c r="A37" t="s">
        <v>19</v>
      </c>
      <c r="B37" s="7">
        <v>0.33333333333333331</v>
      </c>
      <c r="C37" s="8">
        <v>1</v>
      </c>
      <c r="D37" s="8">
        <v>0</v>
      </c>
      <c r="E37" s="8">
        <v>0</v>
      </c>
      <c r="F37" s="8">
        <v>1</v>
      </c>
      <c r="G37" s="8">
        <v>1</v>
      </c>
      <c r="H37" s="8">
        <v>0</v>
      </c>
      <c r="I37" s="8">
        <v>1</v>
      </c>
      <c r="J37" s="8">
        <v>1</v>
      </c>
      <c r="K37" s="8">
        <v>1</v>
      </c>
      <c r="L37" s="8">
        <v>0</v>
      </c>
      <c r="M37" s="8">
        <v>1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1</v>
      </c>
      <c r="W37" s="8">
        <v>1</v>
      </c>
      <c r="X37" s="8">
        <v>1</v>
      </c>
      <c r="Y37" s="8">
        <v>1</v>
      </c>
      <c r="Z37" s="8">
        <v>1</v>
      </c>
      <c r="AA37" s="8">
        <v>0</v>
      </c>
      <c r="AB37" s="8">
        <v>1</v>
      </c>
      <c r="AC37" s="8">
        <v>1</v>
      </c>
      <c r="AD37" s="8">
        <v>1</v>
      </c>
      <c r="AE37" s="8">
        <v>0</v>
      </c>
      <c r="AF37" s="8">
        <v>1</v>
      </c>
    </row>
    <row r="38" spans="1:32" x14ac:dyDescent="0.25">
      <c r="B38" s="7">
        <v>0.40625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1</v>
      </c>
      <c r="I38" s="8">
        <v>0</v>
      </c>
      <c r="J38" s="8">
        <v>0</v>
      </c>
      <c r="K38" s="8">
        <v>1</v>
      </c>
      <c r="L38" s="8">
        <v>1</v>
      </c>
      <c r="M38" s="8">
        <v>0</v>
      </c>
      <c r="N38" s="8">
        <v>1</v>
      </c>
      <c r="O38" s="8">
        <v>1</v>
      </c>
      <c r="P38" s="8">
        <v>1</v>
      </c>
      <c r="Q38" s="8">
        <v>1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1</v>
      </c>
      <c r="AC38" s="8">
        <v>1</v>
      </c>
      <c r="AD38" s="8">
        <v>0</v>
      </c>
      <c r="AE38" s="8">
        <v>0</v>
      </c>
      <c r="AF38" s="8">
        <v>0</v>
      </c>
    </row>
    <row r="39" spans="1:32" x14ac:dyDescent="0.25">
      <c r="B39" s="7">
        <v>0.47916666666666669</v>
      </c>
      <c r="C39" s="8">
        <v>0</v>
      </c>
      <c r="D39" s="8">
        <v>1</v>
      </c>
      <c r="E39" s="8">
        <v>1</v>
      </c>
      <c r="F39" s="8">
        <v>1</v>
      </c>
      <c r="G39" s="8">
        <v>1</v>
      </c>
      <c r="H39" s="8">
        <v>0</v>
      </c>
      <c r="I39" s="8">
        <v>1</v>
      </c>
      <c r="J39" s="8">
        <v>0</v>
      </c>
      <c r="K39" s="8">
        <v>1</v>
      </c>
      <c r="L39" s="8">
        <v>1</v>
      </c>
      <c r="M39" s="8">
        <v>0</v>
      </c>
      <c r="N39" s="8">
        <v>0</v>
      </c>
      <c r="O39" s="8">
        <v>0</v>
      </c>
      <c r="P39" s="8">
        <v>0</v>
      </c>
      <c r="Q39" s="8">
        <v>1</v>
      </c>
      <c r="R39" s="8">
        <v>0</v>
      </c>
      <c r="S39" s="8">
        <v>0</v>
      </c>
      <c r="T39" s="8">
        <v>1</v>
      </c>
      <c r="U39" s="8">
        <v>1</v>
      </c>
      <c r="V39" s="8">
        <v>0</v>
      </c>
      <c r="W39" s="8">
        <v>0</v>
      </c>
      <c r="X39" s="8">
        <v>1</v>
      </c>
      <c r="Y39" s="8">
        <v>1</v>
      </c>
      <c r="Z39" s="8">
        <v>1</v>
      </c>
      <c r="AA39" s="8">
        <v>0</v>
      </c>
      <c r="AB39" s="8">
        <v>0</v>
      </c>
      <c r="AC39" s="8">
        <v>0</v>
      </c>
      <c r="AD39" s="8">
        <v>1</v>
      </c>
      <c r="AE39" s="8">
        <v>1</v>
      </c>
      <c r="AF39" s="8">
        <v>0</v>
      </c>
    </row>
    <row r="40" spans="1:32" x14ac:dyDescent="0.25">
      <c r="B40" s="7">
        <v>0.55208333333333304</v>
      </c>
      <c r="C40" s="8">
        <v>0</v>
      </c>
      <c r="D40" s="8">
        <v>0</v>
      </c>
      <c r="E40" s="8">
        <v>0</v>
      </c>
      <c r="F40" s="8">
        <v>1</v>
      </c>
      <c r="G40" s="8">
        <v>0</v>
      </c>
      <c r="H40" s="8">
        <v>1</v>
      </c>
      <c r="I40" s="8">
        <v>0</v>
      </c>
      <c r="J40" s="8">
        <v>0</v>
      </c>
      <c r="K40" s="8">
        <v>0</v>
      </c>
      <c r="L40" s="8">
        <v>0</v>
      </c>
      <c r="M40" s="8">
        <v>1</v>
      </c>
      <c r="N40" s="8">
        <v>1</v>
      </c>
      <c r="O40" s="8">
        <v>1</v>
      </c>
      <c r="P40" s="8">
        <v>0</v>
      </c>
      <c r="Q40" s="8">
        <v>0</v>
      </c>
      <c r="R40" s="8">
        <v>0</v>
      </c>
      <c r="S40" s="8">
        <v>1</v>
      </c>
      <c r="T40" s="8">
        <v>1</v>
      </c>
      <c r="U40" s="8">
        <v>0</v>
      </c>
      <c r="V40" s="8">
        <v>1</v>
      </c>
      <c r="W40" s="8">
        <v>0</v>
      </c>
      <c r="X40" s="8">
        <v>0</v>
      </c>
      <c r="Y40" s="8">
        <v>0</v>
      </c>
      <c r="Z40" s="8">
        <v>1</v>
      </c>
      <c r="AA40" s="8">
        <v>1</v>
      </c>
      <c r="AB40" s="8">
        <v>1</v>
      </c>
      <c r="AC40" s="8">
        <v>0</v>
      </c>
      <c r="AD40" s="8">
        <v>0</v>
      </c>
      <c r="AE40" s="8">
        <v>0</v>
      </c>
      <c r="AF40" s="8">
        <v>1</v>
      </c>
    </row>
    <row r="41" spans="1:32" x14ac:dyDescent="0.25">
      <c r="B41" s="7">
        <v>0.625</v>
      </c>
      <c r="C41" s="8">
        <v>1</v>
      </c>
      <c r="D41" s="8">
        <v>0</v>
      </c>
      <c r="E41" s="8">
        <v>0</v>
      </c>
      <c r="F41" s="8">
        <v>1</v>
      </c>
      <c r="G41" s="8">
        <v>0</v>
      </c>
      <c r="H41" s="8">
        <v>0</v>
      </c>
      <c r="I41" s="8">
        <v>0</v>
      </c>
      <c r="J41" s="8">
        <v>1</v>
      </c>
      <c r="K41" s="8">
        <v>0</v>
      </c>
      <c r="L41" s="8">
        <v>1</v>
      </c>
      <c r="M41" s="8">
        <v>1</v>
      </c>
      <c r="N41" s="8">
        <v>0</v>
      </c>
      <c r="O41" s="8">
        <v>1</v>
      </c>
      <c r="P41" s="8">
        <v>0</v>
      </c>
      <c r="Q41" s="8">
        <v>0</v>
      </c>
      <c r="R41" s="8">
        <v>1</v>
      </c>
      <c r="S41" s="8">
        <v>0</v>
      </c>
      <c r="T41" s="8">
        <v>1</v>
      </c>
      <c r="U41" s="8">
        <v>0</v>
      </c>
      <c r="V41" s="8">
        <v>0</v>
      </c>
      <c r="W41" s="8">
        <v>0</v>
      </c>
      <c r="X41" s="8">
        <v>0</v>
      </c>
      <c r="Y41" s="8">
        <v>1</v>
      </c>
      <c r="Z41" s="8">
        <v>0</v>
      </c>
      <c r="AA41" s="8">
        <v>1</v>
      </c>
      <c r="AB41" s="8">
        <v>0</v>
      </c>
      <c r="AC41" s="8">
        <v>0</v>
      </c>
      <c r="AD41" s="8">
        <v>0</v>
      </c>
      <c r="AE41" s="8">
        <v>1</v>
      </c>
      <c r="AF41" s="8">
        <v>0</v>
      </c>
    </row>
    <row r="42" spans="1:32" x14ac:dyDescent="0.25">
      <c r="B42" s="7">
        <v>0.69791666666666696</v>
      </c>
      <c r="C42" s="8">
        <v>1</v>
      </c>
      <c r="D42" s="8">
        <v>1</v>
      </c>
      <c r="E42" s="8">
        <v>0</v>
      </c>
      <c r="F42" s="8">
        <v>0</v>
      </c>
      <c r="G42" s="8">
        <v>0</v>
      </c>
      <c r="H42" s="8">
        <v>1</v>
      </c>
      <c r="I42" s="8">
        <v>0</v>
      </c>
      <c r="J42" s="8">
        <v>0</v>
      </c>
      <c r="K42" s="8">
        <v>0</v>
      </c>
      <c r="L42" s="8">
        <v>1</v>
      </c>
      <c r="M42" s="8">
        <v>0</v>
      </c>
      <c r="N42" s="8">
        <v>0</v>
      </c>
      <c r="O42" s="8">
        <v>1</v>
      </c>
      <c r="P42" s="8">
        <v>1</v>
      </c>
      <c r="Q42" s="8">
        <v>0</v>
      </c>
      <c r="R42" s="8">
        <v>1</v>
      </c>
      <c r="S42" s="8">
        <v>1</v>
      </c>
      <c r="T42" s="8">
        <v>0</v>
      </c>
      <c r="U42" s="8">
        <v>0</v>
      </c>
      <c r="V42" s="8">
        <v>0</v>
      </c>
      <c r="W42" s="8">
        <v>0</v>
      </c>
      <c r="X42" s="8">
        <v>1</v>
      </c>
      <c r="Y42" s="8">
        <v>1</v>
      </c>
      <c r="Z42" s="8">
        <v>0</v>
      </c>
      <c r="AA42" s="8">
        <v>0</v>
      </c>
      <c r="AB42" s="8">
        <v>0</v>
      </c>
      <c r="AC42" s="8">
        <v>0</v>
      </c>
      <c r="AD42" s="8">
        <v>1</v>
      </c>
      <c r="AE42" s="8">
        <v>1</v>
      </c>
      <c r="AF42" s="8">
        <v>0</v>
      </c>
    </row>
    <row r="43" spans="1:32" x14ac:dyDescent="0.25">
      <c r="A43" t="s">
        <v>20</v>
      </c>
      <c r="B43" s="7">
        <v>0.33333333333333331</v>
      </c>
      <c r="C43" s="8">
        <v>0</v>
      </c>
      <c r="D43" s="8">
        <v>0</v>
      </c>
      <c r="E43" s="8">
        <v>0</v>
      </c>
      <c r="F43" s="8">
        <v>0</v>
      </c>
      <c r="G43" s="8">
        <v>1</v>
      </c>
      <c r="H43" s="8">
        <v>1</v>
      </c>
      <c r="I43" s="8">
        <v>1</v>
      </c>
      <c r="J43" s="8">
        <v>1</v>
      </c>
      <c r="K43" s="8">
        <v>1</v>
      </c>
      <c r="L43" s="8">
        <v>0</v>
      </c>
      <c r="M43" s="8">
        <v>0</v>
      </c>
      <c r="N43" s="8">
        <v>1</v>
      </c>
      <c r="O43" s="8">
        <v>0</v>
      </c>
      <c r="P43" s="8">
        <v>1</v>
      </c>
      <c r="Q43" s="8">
        <v>1</v>
      </c>
      <c r="R43" s="8">
        <v>0</v>
      </c>
      <c r="S43" s="8">
        <v>1</v>
      </c>
      <c r="T43" s="8">
        <v>0</v>
      </c>
      <c r="U43" s="8">
        <v>1</v>
      </c>
      <c r="V43" s="8">
        <v>0</v>
      </c>
      <c r="W43" s="8">
        <v>1</v>
      </c>
      <c r="X43" s="8">
        <v>1</v>
      </c>
      <c r="Y43" s="8">
        <v>0</v>
      </c>
      <c r="Z43" s="8">
        <v>1</v>
      </c>
      <c r="AA43" s="8">
        <v>0</v>
      </c>
      <c r="AB43" s="8">
        <v>0</v>
      </c>
      <c r="AC43" s="8">
        <v>1</v>
      </c>
      <c r="AD43" s="8">
        <v>1</v>
      </c>
      <c r="AE43" s="8">
        <v>0</v>
      </c>
      <c r="AF43" s="8">
        <v>0</v>
      </c>
    </row>
    <row r="44" spans="1:32" x14ac:dyDescent="0.25">
      <c r="B44" s="7">
        <v>0.40625</v>
      </c>
      <c r="C44" s="8">
        <v>1</v>
      </c>
      <c r="D44" s="8">
        <v>1</v>
      </c>
      <c r="E44" s="8">
        <v>1</v>
      </c>
      <c r="F44" s="8">
        <v>0</v>
      </c>
      <c r="G44" s="8">
        <v>1</v>
      </c>
      <c r="H44" s="8">
        <v>0</v>
      </c>
      <c r="I44" s="8">
        <v>1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1</v>
      </c>
      <c r="P44" s="8">
        <v>0</v>
      </c>
      <c r="Q44" s="8">
        <v>0</v>
      </c>
      <c r="R44" s="8">
        <v>1</v>
      </c>
      <c r="S44" s="8">
        <v>0</v>
      </c>
      <c r="T44" s="8">
        <v>0</v>
      </c>
      <c r="U44" s="8">
        <v>1</v>
      </c>
      <c r="V44" s="8">
        <v>0</v>
      </c>
      <c r="W44" s="8">
        <v>1</v>
      </c>
      <c r="X44" s="8">
        <v>1</v>
      </c>
      <c r="Y44" s="8">
        <v>0</v>
      </c>
      <c r="Z44" s="8">
        <v>0</v>
      </c>
      <c r="AA44" s="8">
        <v>1</v>
      </c>
      <c r="AB44" s="8">
        <v>1</v>
      </c>
      <c r="AC44" s="8">
        <v>0</v>
      </c>
      <c r="AD44" s="8">
        <v>0</v>
      </c>
      <c r="AE44" s="8">
        <v>0</v>
      </c>
      <c r="AF44" s="8">
        <v>0</v>
      </c>
    </row>
    <row r="45" spans="1:32" x14ac:dyDescent="0.25">
      <c r="B45" s="7">
        <v>0.47916666666666669</v>
      </c>
      <c r="C45" s="8">
        <v>0</v>
      </c>
      <c r="D45" s="8">
        <v>0</v>
      </c>
      <c r="E45" s="8">
        <v>1</v>
      </c>
      <c r="F45" s="8">
        <v>0</v>
      </c>
      <c r="G45" s="8">
        <v>1</v>
      </c>
      <c r="H45" s="8">
        <v>0</v>
      </c>
      <c r="I45" s="8">
        <v>0</v>
      </c>
      <c r="J45" s="8">
        <v>1</v>
      </c>
      <c r="K45" s="8">
        <v>0</v>
      </c>
      <c r="L45" s="8">
        <v>1</v>
      </c>
      <c r="M45" s="8">
        <v>1</v>
      </c>
      <c r="N45" s="8">
        <v>0</v>
      </c>
      <c r="O45" s="8">
        <v>0</v>
      </c>
      <c r="P45" s="8">
        <v>1</v>
      </c>
      <c r="Q45" s="8">
        <v>0</v>
      </c>
      <c r="R45" s="8">
        <v>0</v>
      </c>
      <c r="S45" s="8">
        <v>0</v>
      </c>
      <c r="T45" s="8">
        <v>1</v>
      </c>
      <c r="U45" s="8">
        <v>0</v>
      </c>
      <c r="V45" s="8">
        <v>1</v>
      </c>
      <c r="W45" s="8">
        <v>1</v>
      </c>
      <c r="X45" s="8">
        <v>0</v>
      </c>
      <c r="Y45" s="8">
        <v>1</v>
      </c>
      <c r="Z45" s="8">
        <v>0</v>
      </c>
      <c r="AA45" s="8">
        <v>0</v>
      </c>
      <c r="AB45" s="8">
        <v>0</v>
      </c>
      <c r="AC45" s="8">
        <v>1</v>
      </c>
      <c r="AD45" s="8">
        <v>0</v>
      </c>
      <c r="AE45" s="8">
        <v>0</v>
      </c>
      <c r="AF45" s="8">
        <v>0</v>
      </c>
    </row>
    <row r="46" spans="1:32" x14ac:dyDescent="0.25">
      <c r="B46" s="7">
        <v>0.55208333333333304</v>
      </c>
      <c r="C46" s="8">
        <v>0</v>
      </c>
      <c r="D46" s="8">
        <v>1</v>
      </c>
      <c r="E46" s="8">
        <v>1</v>
      </c>
      <c r="F46" s="8">
        <v>0</v>
      </c>
      <c r="G46" s="8">
        <v>0</v>
      </c>
      <c r="H46" s="8">
        <v>0</v>
      </c>
      <c r="I46" s="8">
        <v>0</v>
      </c>
      <c r="J46" s="8">
        <v>1</v>
      </c>
      <c r="K46" s="8">
        <v>0</v>
      </c>
      <c r="L46" s="8">
        <v>0</v>
      </c>
      <c r="M46" s="8">
        <v>0</v>
      </c>
      <c r="N46" s="8">
        <v>1</v>
      </c>
      <c r="O46" s="8">
        <v>0</v>
      </c>
      <c r="P46" s="8">
        <v>1</v>
      </c>
      <c r="Q46" s="8">
        <v>0</v>
      </c>
      <c r="R46" s="8">
        <v>1</v>
      </c>
      <c r="S46" s="8">
        <v>1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1</v>
      </c>
      <c r="AB46" s="8">
        <v>1</v>
      </c>
      <c r="AC46" s="8">
        <v>0</v>
      </c>
      <c r="AD46" s="8">
        <v>0</v>
      </c>
      <c r="AE46" s="8">
        <v>0</v>
      </c>
      <c r="AF46" s="8">
        <v>1</v>
      </c>
    </row>
    <row r="47" spans="1:32" x14ac:dyDescent="0.25">
      <c r="B47" s="7">
        <v>0.625</v>
      </c>
      <c r="C47" s="8">
        <v>1</v>
      </c>
      <c r="D47" s="8">
        <v>1</v>
      </c>
      <c r="E47" s="8">
        <v>0</v>
      </c>
      <c r="F47" s="8">
        <v>0</v>
      </c>
      <c r="G47" s="8">
        <v>0</v>
      </c>
      <c r="H47" s="8">
        <v>1</v>
      </c>
      <c r="I47" s="8">
        <v>1</v>
      </c>
      <c r="J47" s="8">
        <v>0</v>
      </c>
      <c r="K47" s="8">
        <v>0</v>
      </c>
      <c r="L47" s="8">
        <v>0</v>
      </c>
      <c r="M47" s="8">
        <v>0</v>
      </c>
      <c r="N47" s="8">
        <v>1</v>
      </c>
      <c r="O47" s="8">
        <v>0</v>
      </c>
      <c r="P47" s="8">
        <v>0</v>
      </c>
      <c r="Q47" s="8">
        <v>1</v>
      </c>
      <c r="R47" s="8">
        <v>0</v>
      </c>
      <c r="S47" s="8">
        <v>0</v>
      </c>
      <c r="T47" s="8">
        <v>0</v>
      </c>
      <c r="U47" s="8">
        <v>1</v>
      </c>
      <c r="V47" s="8">
        <v>1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1</v>
      </c>
      <c r="AD47" s="8">
        <v>0</v>
      </c>
      <c r="AE47" s="8">
        <v>1</v>
      </c>
      <c r="AF47" s="8">
        <v>1</v>
      </c>
    </row>
    <row r="48" spans="1:32" x14ac:dyDescent="0.25">
      <c r="B48" s="7">
        <v>0.69791666666666696</v>
      </c>
      <c r="C48" s="8">
        <v>0</v>
      </c>
      <c r="D48" s="8">
        <v>0</v>
      </c>
      <c r="E48" s="8">
        <v>1</v>
      </c>
      <c r="F48" s="8">
        <v>1</v>
      </c>
      <c r="G48" s="8">
        <v>0</v>
      </c>
      <c r="H48" s="8">
        <v>0</v>
      </c>
      <c r="I48" s="8">
        <v>0</v>
      </c>
      <c r="J48" s="8">
        <v>0</v>
      </c>
      <c r="K48" s="8">
        <v>1</v>
      </c>
      <c r="L48" s="8">
        <v>0</v>
      </c>
      <c r="M48" s="8">
        <v>1</v>
      </c>
      <c r="N48" s="8">
        <v>0</v>
      </c>
      <c r="O48" s="8">
        <v>0</v>
      </c>
      <c r="P48" s="8">
        <v>0</v>
      </c>
      <c r="Q48" s="8">
        <v>1</v>
      </c>
      <c r="R48" s="8">
        <v>1</v>
      </c>
      <c r="S48" s="8">
        <v>1</v>
      </c>
      <c r="T48" s="8">
        <v>1</v>
      </c>
      <c r="U48" s="8">
        <v>1</v>
      </c>
      <c r="V48" s="8">
        <v>1</v>
      </c>
      <c r="W48" s="8">
        <v>1</v>
      </c>
      <c r="X48" s="8">
        <v>0</v>
      </c>
      <c r="Y48" s="8">
        <v>0</v>
      </c>
      <c r="Z48" s="8">
        <v>1</v>
      </c>
      <c r="AA48" s="8">
        <v>1</v>
      </c>
      <c r="AB48" s="8">
        <v>0</v>
      </c>
      <c r="AC48" s="8">
        <v>0</v>
      </c>
      <c r="AD48" s="8">
        <v>1</v>
      </c>
      <c r="AE48" s="8">
        <v>1</v>
      </c>
      <c r="AF48" s="8">
        <v>1</v>
      </c>
    </row>
    <row r="49" spans="1:32" x14ac:dyDescent="0.25">
      <c r="A49" t="s">
        <v>21</v>
      </c>
      <c r="B49" s="7">
        <v>0.33333333333333331</v>
      </c>
      <c r="C49" s="8">
        <v>1</v>
      </c>
      <c r="D49" s="8">
        <v>0</v>
      </c>
      <c r="E49" s="8">
        <v>0</v>
      </c>
      <c r="F49" s="8">
        <v>1</v>
      </c>
      <c r="G49" s="8">
        <v>1</v>
      </c>
      <c r="H49" s="8">
        <v>0</v>
      </c>
      <c r="I49" s="8">
        <v>1</v>
      </c>
      <c r="J49" s="8">
        <v>1</v>
      </c>
      <c r="K49" s="8">
        <v>1</v>
      </c>
      <c r="L49" s="8">
        <v>0</v>
      </c>
      <c r="M49" s="8">
        <v>1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1</v>
      </c>
      <c r="W49" s="8">
        <v>1</v>
      </c>
      <c r="X49" s="8">
        <v>1</v>
      </c>
      <c r="Y49" s="8">
        <v>1</v>
      </c>
      <c r="Z49" s="8">
        <v>1</v>
      </c>
      <c r="AA49" s="8">
        <v>0</v>
      </c>
      <c r="AB49" s="8">
        <v>1</v>
      </c>
      <c r="AC49" s="8">
        <v>1</v>
      </c>
      <c r="AD49" s="8">
        <v>1</v>
      </c>
      <c r="AE49" s="8">
        <v>0</v>
      </c>
      <c r="AF49" s="8">
        <v>1</v>
      </c>
    </row>
    <row r="50" spans="1:32" x14ac:dyDescent="0.25">
      <c r="B50" s="7">
        <v>0.40625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1</v>
      </c>
      <c r="I50" s="8">
        <v>0</v>
      </c>
      <c r="J50" s="8">
        <v>0</v>
      </c>
      <c r="K50" s="8">
        <v>1</v>
      </c>
      <c r="L50" s="8">
        <v>1</v>
      </c>
      <c r="M50" s="8">
        <v>0</v>
      </c>
      <c r="N50" s="8">
        <v>1</v>
      </c>
      <c r="O50" s="8">
        <v>1</v>
      </c>
      <c r="P50" s="8">
        <v>1</v>
      </c>
      <c r="Q50" s="8">
        <v>1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1</v>
      </c>
      <c r="AC50" s="8">
        <v>1</v>
      </c>
      <c r="AD50" s="8">
        <v>0</v>
      </c>
      <c r="AE50" s="8">
        <v>0</v>
      </c>
      <c r="AF50" s="8">
        <v>0</v>
      </c>
    </row>
    <row r="51" spans="1:32" x14ac:dyDescent="0.25">
      <c r="B51" s="7">
        <v>0.47916666666666669</v>
      </c>
      <c r="C51" s="8">
        <v>0</v>
      </c>
      <c r="D51" s="8">
        <v>1</v>
      </c>
      <c r="E51" s="8">
        <v>1</v>
      </c>
      <c r="F51" s="8">
        <v>1</v>
      </c>
      <c r="G51" s="8">
        <v>1</v>
      </c>
      <c r="H51" s="8">
        <v>0</v>
      </c>
      <c r="I51" s="8">
        <v>1</v>
      </c>
      <c r="J51" s="8">
        <v>0</v>
      </c>
      <c r="K51" s="8">
        <v>1</v>
      </c>
      <c r="L51" s="8">
        <v>1</v>
      </c>
      <c r="M51" s="8">
        <v>0</v>
      </c>
      <c r="N51" s="8">
        <v>0</v>
      </c>
      <c r="O51" s="8">
        <v>0</v>
      </c>
      <c r="P51" s="8">
        <v>0</v>
      </c>
      <c r="Q51" s="8">
        <v>1</v>
      </c>
      <c r="R51" s="8">
        <v>0</v>
      </c>
      <c r="S51" s="8">
        <v>0</v>
      </c>
      <c r="T51" s="8">
        <v>1</v>
      </c>
      <c r="U51" s="8">
        <v>1</v>
      </c>
      <c r="V51" s="8">
        <v>0</v>
      </c>
      <c r="W51" s="8">
        <v>0</v>
      </c>
      <c r="X51" s="8">
        <v>1</v>
      </c>
      <c r="Y51" s="8">
        <v>1</v>
      </c>
      <c r="Z51" s="8">
        <v>1</v>
      </c>
      <c r="AA51" s="8">
        <v>0</v>
      </c>
      <c r="AB51" s="8">
        <v>0</v>
      </c>
      <c r="AC51" s="8">
        <v>0</v>
      </c>
      <c r="AD51" s="8">
        <v>1</v>
      </c>
      <c r="AE51" s="8">
        <v>1</v>
      </c>
      <c r="AF51" s="8">
        <v>0</v>
      </c>
    </row>
    <row r="52" spans="1:32" x14ac:dyDescent="0.25">
      <c r="B52" s="7">
        <v>0.55208333333333304</v>
      </c>
      <c r="C52" s="8">
        <v>0</v>
      </c>
      <c r="D52" s="8">
        <v>0</v>
      </c>
      <c r="E52" s="8">
        <v>0</v>
      </c>
      <c r="F52" s="8">
        <v>1</v>
      </c>
      <c r="G52" s="8">
        <v>0</v>
      </c>
      <c r="H52" s="8">
        <v>1</v>
      </c>
      <c r="I52" s="8">
        <v>0</v>
      </c>
      <c r="J52" s="8">
        <v>0</v>
      </c>
      <c r="K52" s="8">
        <v>0</v>
      </c>
      <c r="L52" s="8">
        <v>0</v>
      </c>
      <c r="M52" s="8">
        <v>1</v>
      </c>
      <c r="N52" s="8">
        <v>1</v>
      </c>
      <c r="O52" s="8">
        <v>1</v>
      </c>
      <c r="P52" s="8">
        <v>0</v>
      </c>
      <c r="Q52" s="8">
        <v>0</v>
      </c>
      <c r="R52" s="8">
        <v>0</v>
      </c>
      <c r="S52" s="8">
        <v>1</v>
      </c>
      <c r="T52" s="8">
        <v>1</v>
      </c>
      <c r="U52" s="8">
        <v>0</v>
      </c>
      <c r="V52" s="8">
        <v>1</v>
      </c>
      <c r="W52" s="8">
        <v>0</v>
      </c>
      <c r="X52" s="8">
        <v>0</v>
      </c>
      <c r="Y52" s="8">
        <v>0</v>
      </c>
      <c r="Z52" s="8">
        <v>1</v>
      </c>
      <c r="AA52" s="8">
        <v>1</v>
      </c>
      <c r="AB52" s="8">
        <v>1</v>
      </c>
      <c r="AC52" s="8">
        <v>0</v>
      </c>
      <c r="AD52" s="8">
        <v>0</v>
      </c>
      <c r="AE52" s="8">
        <v>0</v>
      </c>
      <c r="AF52" s="8">
        <v>1</v>
      </c>
    </row>
    <row r="53" spans="1:32" x14ac:dyDescent="0.25">
      <c r="B53" s="7">
        <v>0.625</v>
      </c>
      <c r="C53" s="8">
        <v>1</v>
      </c>
      <c r="D53" s="8">
        <v>0</v>
      </c>
      <c r="E53" s="8">
        <v>0</v>
      </c>
      <c r="F53" s="8">
        <v>1</v>
      </c>
      <c r="G53" s="8">
        <v>0</v>
      </c>
      <c r="H53" s="8">
        <v>0</v>
      </c>
      <c r="I53" s="8">
        <v>0</v>
      </c>
      <c r="J53" s="8">
        <v>1</v>
      </c>
      <c r="K53" s="8">
        <v>0</v>
      </c>
      <c r="L53" s="8">
        <v>1</v>
      </c>
      <c r="M53" s="8">
        <v>1</v>
      </c>
      <c r="N53" s="8">
        <v>0</v>
      </c>
      <c r="O53" s="8">
        <v>1</v>
      </c>
      <c r="P53" s="8">
        <v>0</v>
      </c>
      <c r="Q53" s="8">
        <v>0</v>
      </c>
      <c r="R53" s="8">
        <v>1</v>
      </c>
      <c r="S53" s="8">
        <v>0</v>
      </c>
      <c r="T53" s="8">
        <v>1</v>
      </c>
      <c r="U53" s="8">
        <v>0</v>
      </c>
      <c r="V53" s="8">
        <v>0</v>
      </c>
      <c r="W53" s="8">
        <v>0</v>
      </c>
      <c r="X53" s="8">
        <v>0</v>
      </c>
      <c r="Y53" s="8">
        <v>1</v>
      </c>
      <c r="Z53" s="8">
        <v>0</v>
      </c>
      <c r="AA53" s="8">
        <v>1</v>
      </c>
      <c r="AB53" s="8">
        <v>0</v>
      </c>
      <c r="AC53" s="8">
        <v>0</v>
      </c>
      <c r="AD53" s="8">
        <v>0</v>
      </c>
      <c r="AE53" s="8">
        <v>1</v>
      </c>
      <c r="AF53" s="8">
        <v>0</v>
      </c>
    </row>
    <row r="54" spans="1:32" x14ac:dyDescent="0.25">
      <c r="B54" s="7">
        <v>0.69791666666666696</v>
      </c>
      <c r="C54" s="8">
        <v>1</v>
      </c>
      <c r="D54" s="8">
        <v>1</v>
      </c>
      <c r="E54" s="8">
        <v>0</v>
      </c>
      <c r="F54" s="8">
        <v>0</v>
      </c>
      <c r="G54" s="8">
        <v>0</v>
      </c>
      <c r="H54" s="8">
        <v>1</v>
      </c>
      <c r="I54" s="8">
        <v>0</v>
      </c>
      <c r="J54" s="8">
        <v>0</v>
      </c>
      <c r="K54" s="8">
        <v>0</v>
      </c>
      <c r="L54" s="8">
        <v>1</v>
      </c>
      <c r="M54" s="8">
        <v>0</v>
      </c>
      <c r="N54" s="8">
        <v>0</v>
      </c>
      <c r="O54" s="8">
        <v>1</v>
      </c>
      <c r="P54" s="8">
        <v>1</v>
      </c>
      <c r="Q54" s="8">
        <v>0</v>
      </c>
      <c r="R54" s="8">
        <v>1</v>
      </c>
      <c r="S54" s="8">
        <v>1</v>
      </c>
      <c r="T54" s="8">
        <v>0</v>
      </c>
      <c r="U54" s="8">
        <v>0</v>
      </c>
      <c r="V54" s="8">
        <v>0</v>
      </c>
      <c r="W54" s="8">
        <v>0</v>
      </c>
      <c r="X54" s="8">
        <v>1</v>
      </c>
      <c r="Y54" s="8">
        <v>1</v>
      </c>
      <c r="Z54" s="8">
        <v>0</v>
      </c>
      <c r="AA54" s="8">
        <v>0</v>
      </c>
      <c r="AB54" s="8">
        <v>0</v>
      </c>
      <c r="AC54" s="8">
        <v>0</v>
      </c>
      <c r="AD54" s="8">
        <v>1</v>
      </c>
      <c r="AE54" s="8">
        <v>1</v>
      </c>
      <c r="AF54" s="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1EBB7-8096-4037-B027-324AD44ECA40}">
  <dimension ref="A1:AF54"/>
  <sheetViews>
    <sheetView workbookViewId="0">
      <selection activeCell="J20" sqref="J20"/>
    </sheetView>
  </sheetViews>
  <sheetFormatPr defaultRowHeight="15" x14ac:dyDescent="0.25"/>
  <cols>
    <col min="1" max="1" width="15.85546875" customWidth="1"/>
    <col min="2" max="2" width="14.140625" customWidth="1"/>
    <col min="3" max="7" width="14.42578125" customWidth="1"/>
    <col min="8" max="31" width="8.5703125" customWidth="1"/>
    <col min="32" max="32" width="14.28515625" customWidth="1"/>
  </cols>
  <sheetData>
    <row r="1" spans="1:7" x14ac:dyDescent="0.25">
      <c r="A1" s="7"/>
      <c r="C1" s="12" t="s">
        <v>11</v>
      </c>
    </row>
    <row r="2" spans="1:7" x14ac:dyDescent="0.25">
      <c r="C2" t="s">
        <v>13</v>
      </c>
      <c r="D2" t="s">
        <v>14</v>
      </c>
      <c r="E2" t="s">
        <v>15</v>
      </c>
      <c r="F2" t="s">
        <v>16</v>
      </c>
      <c r="G2" s="12" t="s">
        <v>17</v>
      </c>
    </row>
    <row r="3" spans="1:7" x14ac:dyDescent="0.25">
      <c r="A3" t="s">
        <v>18</v>
      </c>
      <c r="B3" s="7">
        <v>0.33333333333333331</v>
      </c>
      <c r="C3" s="8">
        <v>8</v>
      </c>
      <c r="D3" s="8">
        <v>0</v>
      </c>
      <c r="E3" s="8">
        <v>0</v>
      </c>
      <c r="F3" s="8">
        <v>0</v>
      </c>
      <c r="G3" s="8">
        <v>1</v>
      </c>
    </row>
    <row r="4" spans="1:7" x14ac:dyDescent="0.25">
      <c r="B4" s="7">
        <v>0.40625</v>
      </c>
      <c r="C4" s="8">
        <v>1</v>
      </c>
      <c r="D4" s="8">
        <v>0</v>
      </c>
      <c r="E4" s="8">
        <v>0</v>
      </c>
      <c r="F4" s="8">
        <v>0</v>
      </c>
      <c r="G4" s="8">
        <v>0</v>
      </c>
    </row>
    <row r="5" spans="1:7" x14ac:dyDescent="0.25">
      <c r="B5" s="7">
        <v>0.47916666666666669</v>
      </c>
      <c r="C5" s="8">
        <v>2</v>
      </c>
      <c r="D5" s="8">
        <v>1</v>
      </c>
      <c r="E5" s="8">
        <v>1</v>
      </c>
      <c r="F5" s="8">
        <v>9</v>
      </c>
      <c r="G5" s="8">
        <v>0</v>
      </c>
    </row>
    <row r="6" spans="1:7" x14ac:dyDescent="0.25">
      <c r="B6" s="7">
        <v>0.55208333333333304</v>
      </c>
      <c r="C6" s="8">
        <v>0</v>
      </c>
      <c r="D6" s="8">
        <v>3</v>
      </c>
      <c r="E6" s="8">
        <v>7</v>
      </c>
      <c r="F6" s="8">
        <v>0</v>
      </c>
      <c r="G6" s="8">
        <v>1</v>
      </c>
    </row>
    <row r="7" spans="1:7" x14ac:dyDescent="0.25">
      <c r="B7" s="7">
        <v>0.625</v>
      </c>
      <c r="C7" s="8">
        <v>10</v>
      </c>
      <c r="D7" s="8">
        <v>4</v>
      </c>
      <c r="E7" s="8">
        <v>0</v>
      </c>
      <c r="F7" s="8">
        <v>6</v>
      </c>
      <c r="G7" s="8">
        <v>1</v>
      </c>
    </row>
    <row r="8" spans="1:7" x14ac:dyDescent="0.25">
      <c r="B8" s="7">
        <v>0.69791666666666696</v>
      </c>
      <c r="C8" s="8">
        <v>0</v>
      </c>
      <c r="D8" s="8">
        <v>6</v>
      </c>
      <c r="E8" s="8">
        <v>0</v>
      </c>
      <c r="F8" s="8">
        <v>0</v>
      </c>
      <c r="G8" s="8">
        <v>1</v>
      </c>
    </row>
    <row r="9" spans="1:7" x14ac:dyDescent="0.25">
      <c r="A9" t="s">
        <v>19</v>
      </c>
      <c r="B9" s="7">
        <v>0.33333333333333331</v>
      </c>
      <c r="C9" s="8">
        <v>0</v>
      </c>
      <c r="D9" s="8">
        <v>0</v>
      </c>
      <c r="E9" s="8">
        <v>0</v>
      </c>
      <c r="F9" s="8">
        <v>0</v>
      </c>
      <c r="G9" s="8">
        <v>1</v>
      </c>
    </row>
    <row r="10" spans="1:7" x14ac:dyDescent="0.25">
      <c r="B10" s="7">
        <v>0.40625</v>
      </c>
      <c r="C10" s="8">
        <v>0</v>
      </c>
      <c r="D10" s="8">
        <v>10</v>
      </c>
      <c r="E10" s="8">
        <v>0</v>
      </c>
      <c r="F10" s="8">
        <v>2</v>
      </c>
      <c r="G10" s="8">
        <v>1</v>
      </c>
    </row>
    <row r="11" spans="1:7" x14ac:dyDescent="0.25">
      <c r="B11" s="7">
        <v>0.47916666666666669</v>
      </c>
      <c r="C11" s="8">
        <v>5</v>
      </c>
      <c r="D11" s="8">
        <v>0</v>
      </c>
      <c r="E11" s="8">
        <v>2</v>
      </c>
      <c r="F11" s="8">
        <v>0</v>
      </c>
      <c r="G11" s="8">
        <v>0</v>
      </c>
    </row>
    <row r="12" spans="1:7" x14ac:dyDescent="0.25">
      <c r="B12" s="7">
        <v>0.55208333333333304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</row>
    <row r="13" spans="1:7" x14ac:dyDescent="0.25">
      <c r="B13" s="7">
        <v>0.625</v>
      </c>
      <c r="C13" s="8">
        <v>7</v>
      </c>
      <c r="D13" s="8">
        <v>7</v>
      </c>
      <c r="E13" s="8">
        <v>0</v>
      </c>
      <c r="F13" s="8">
        <v>0</v>
      </c>
      <c r="G13" s="8">
        <v>1</v>
      </c>
    </row>
    <row r="14" spans="1:7" x14ac:dyDescent="0.25">
      <c r="B14" s="7">
        <v>0.69791666666666696</v>
      </c>
      <c r="C14" s="8">
        <v>0</v>
      </c>
      <c r="D14" s="8">
        <v>0</v>
      </c>
      <c r="E14" s="8">
        <v>0</v>
      </c>
      <c r="F14" s="8">
        <v>0</v>
      </c>
      <c r="G14" s="8">
        <v>1</v>
      </c>
    </row>
    <row r="15" spans="1:7" x14ac:dyDescent="0.25">
      <c r="A15" t="s">
        <v>20</v>
      </c>
      <c r="B15" s="7">
        <v>0.33333333333333331</v>
      </c>
      <c r="C15" s="8">
        <v>0</v>
      </c>
      <c r="D15" s="8">
        <v>0</v>
      </c>
      <c r="E15" s="8">
        <v>9</v>
      </c>
      <c r="F15" s="8">
        <v>0</v>
      </c>
      <c r="G15" s="8">
        <v>1</v>
      </c>
    </row>
    <row r="16" spans="1:7" x14ac:dyDescent="0.25">
      <c r="B16" s="7">
        <v>0.40625</v>
      </c>
      <c r="C16" s="8">
        <v>4</v>
      </c>
      <c r="D16" s="8">
        <v>0</v>
      </c>
      <c r="E16" s="8">
        <v>4</v>
      </c>
      <c r="F16" s="8">
        <v>0</v>
      </c>
      <c r="G16" s="8">
        <v>0</v>
      </c>
    </row>
    <row r="17" spans="1:32" x14ac:dyDescent="0.25">
      <c r="B17" s="7">
        <v>0.47916666666666669</v>
      </c>
      <c r="C17" s="8">
        <v>0</v>
      </c>
      <c r="D17" s="8">
        <v>0</v>
      </c>
      <c r="E17" s="8">
        <v>5</v>
      </c>
      <c r="F17" s="8">
        <v>1</v>
      </c>
      <c r="G17" s="8">
        <v>0</v>
      </c>
    </row>
    <row r="18" spans="1:32" x14ac:dyDescent="0.25">
      <c r="B18" s="7">
        <v>0.55208333333333304</v>
      </c>
      <c r="C18" s="8">
        <v>0</v>
      </c>
      <c r="D18" s="8">
        <v>8</v>
      </c>
      <c r="E18" s="8">
        <v>3</v>
      </c>
      <c r="F18" s="8">
        <v>10</v>
      </c>
      <c r="G18" s="8">
        <v>1</v>
      </c>
    </row>
    <row r="19" spans="1:32" x14ac:dyDescent="0.25">
      <c r="B19" s="7">
        <v>0.625</v>
      </c>
      <c r="C19" s="8">
        <v>6</v>
      </c>
      <c r="D19" s="8">
        <v>5</v>
      </c>
      <c r="E19" s="8">
        <v>0</v>
      </c>
      <c r="F19" s="8">
        <v>7</v>
      </c>
      <c r="G19" s="8">
        <v>1</v>
      </c>
    </row>
    <row r="20" spans="1:32" x14ac:dyDescent="0.25">
      <c r="B20" s="7">
        <v>0.69791666666666696</v>
      </c>
      <c r="C20" s="8">
        <v>3</v>
      </c>
      <c r="D20" s="8">
        <v>9</v>
      </c>
      <c r="E20" s="8">
        <v>8</v>
      </c>
      <c r="F20" s="8">
        <v>4</v>
      </c>
      <c r="G20" s="8">
        <v>1</v>
      </c>
    </row>
    <row r="21" spans="1:32" x14ac:dyDescent="0.25">
      <c r="A21" t="s">
        <v>21</v>
      </c>
      <c r="B21" s="7">
        <v>0.33333333333333331</v>
      </c>
      <c r="C21" s="8">
        <v>0</v>
      </c>
      <c r="D21" s="8">
        <v>0</v>
      </c>
      <c r="E21" s="8">
        <v>0</v>
      </c>
      <c r="F21" s="8">
        <v>5</v>
      </c>
      <c r="G21" s="8">
        <v>1</v>
      </c>
    </row>
    <row r="22" spans="1:32" x14ac:dyDescent="0.25">
      <c r="B22" s="7">
        <v>0.40625</v>
      </c>
      <c r="C22" s="8">
        <v>0</v>
      </c>
      <c r="D22" s="8">
        <v>2</v>
      </c>
      <c r="E22" s="8">
        <v>0</v>
      </c>
      <c r="F22" s="8">
        <v>8</v>
      </c>
      <c r="G22" s="8">
        <v>1</v>
      </c>
    </row>
    <row r="23" spans="1:32" x14ac:dyDescent="0.25">
      <c r="B23" s="7">
        <v>0.47916666666666669</v>
      </c>
      <c r="C23" s="8">
        <v>0</v>
      </c>
      <c r="D23" s="8">
        <v>0</v>
      </c>
      <c r="E23" s="8">
        <v>6</v>
      </c>
      <c r="F23" s="8">
        <v>0</v>
      </c>
      <c r="G23" s="8">
        <v>0</v>
      </c>
    </row>
    <row r="24" spans="1:32" x14ac:dyDescent="0.25">
      <c r="B24" s="7">
        <v>0.55208333333333304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</row>
    <row r="25" spans="1:32" x14ac:dyDescent="0.25">
      <c r="B25" s="7">
        <v>0.625</v>
      </c>
      <c r="C25" s="8">
        <v>9</v>
      </c>
      <c r="D25" s="8">
        <v>0</v>
      </c>
      <c r="E25" s="8">
        <v>0</v>
      </c>
      <c r="F25" s="8">
        <v>3</v>
      </c>
      <c r="G25" s="8">
        <v>1</v>
      </c>
    </row>
    <row r="26" spans="1:32" x14ac:dyDescent="0.25">
      <c r="B26" s="7">
        <v>0.69791666666666696</v>
      </c>
      <c r="C26" s="8">
        <v>0</v>
      </c>
      <c r="D26" s="8">
        <v>0</v>
      </c>
      <c r="E26" s="8">
        <v>10</v>
      </c>
      <c r="F26" s="8">
        <v>0</v>
      </c>
      <c r="G26" s="8">
        <v>1</v>
      </c>
    </row>
    <row r="29" spans="1:32" x14ac:dyDescent="0.25">
      <c r="B29" s="6" t="s">
        <v>24</v>
      </c>
    </row>
    <row r="30" spans="1:32" x14ac:dyDescent="0.25">
      <c r="C30" t="s">
        <v>25</v>
      </c>
      <c r="D30" t="s">
        <v>26</v>
      </c>
      <c r="E30" t="s">
        <v>27</v>
      </c>
      <c r="F30" t="s">
        <v>28</v>
      </c>
      <c r="G30" t="s">
        <v>29</v>
      </c>
      <c r="H30" t="s">
        <v>30</v>
      </c>
      <c r="I30" t="s">
        <v>31</v>
      </c>
      <c r="J30" t="s">
        <v>32</v>
      </c>
      <c r="K30" t="s">
        <v>33</v>
      </c>
      <c r="L30" t="s">
        <v>34</v>
      </c>
      <c r="M30" t="s">
        <v>35</v>
      </c>
      <c r="N30" t="s">
        <v>36</v>
      </c>
      <c r="O30" t="s">
        <v>37</v>
      </c>
      <c r="P30" t="s">
        <v>38</v>
      </c>
      <c r="Q30" t="s">
        <v>39</v>
      </c>
      <c r="R30" t="s">
        <v>40</v>
      </c>
      <c r="S30" t="s">
        <v>41</v>
      </c>
      <c r="T30" t="s">
        <v>42</v>
      </c>
      <c r="U30" t="s">
        <v>43</v>
      </c>
      <c r="V30" t="s">
        <v>44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  <c r="AB30" t="s">
        <v>50</v>
      </c>
      <c r="AC30" t="s">
        <v>51</v>
      </c>
      <c r="AD30" t="s">
        <v>52</v>
      </c>
      <c r="AE30" t="s">
        <v>53</v>
      </c>
      <c r="AF30" t="s">
        <v>54</v>
      </c>
    </row>
    <row r="31" spans="1:32" x14ac:dyDescent="0.25">
      <c r="A31" t="s">
        <v>18</v>
      </c>
      <c r="B31" s="7">
        <v>0.33333333333333331</v>
      </c>
      <c r="C31" s="8">
        <v>0</v>
      </c>
      <c r="D31" s="8">
        <v>0</v>
      </c>
      <c r="E31" s="8">
        <v>0</v>
      </c>
      <c r="F31" s="8">
        <v>1</v>
      </c>
      <c r="G31" s="8">
        <v>0</v>
      </c>
      <c r="H31" s="8">
        <v>1</v>
      </c>
      <c r="I31" s="8">
        <v>0</v>
      </c>
      <c r="J31" s="8">
        <v>0</v>
      </c>
      <c r="K31" s="8">
        <v>1</v>
      </c>
      <c r="L31" s="8">
        <v>0</v>
      </c>
      <c r="M31" s="8">
        <v>1</v>
      </c>
      <c r="N31" s="8">
        <v>0</v>
      </c>
      <c r="O31" s="8">
        <v>0</v>
      </c>
      <c r="P31" s="8">
        <v>1</v>
      </c>
      <c r="Q31" s="8">
        <v>1</v>
      </c>
      <c r="R31" s="8">
        <v>0</v>
      </c>
      <c r="S31" s="8">
        <v>0</v>
      </c>
      <c r="T31" s="8">
        <v>1</v>
      </c>
      <c r="U31" s="8">
        <v>0</v>
      </c>
      <c r="V31" s="8">
        <v>1</v>
      </c>
      <c r="W31" s="8">
        <v>0</v>
      </c>
      <c r="X31" s="8">
        <v>0</v>
      </c>
      <c r="Y31" s="8">
        <v>1</v>
      </c>
      <c r="Z31" s="8">
        <v>0</v>
      </c>
      <c r="AA31" s="8">
        <v>1</v>
      </c>
      <c r="AB31" s="8">
        <v>1</v>
      </c>
      <c r="AC31" s="8">
        <v>0</v>
      </c>
      <c r="AD31" s="8">
        <v>0</v>
      </c>
      <c r="AE31" s="8">
        <v>1</v>
      </c>
      <c r="AF31" s="8">
        <v>1</v>
      </c>
    </row>
    <row r="32" spans="1:32" x14ac:dyDescent="0.25">
      <c r="B32" s="7">
        <v>0.40625</v>
      </c>
      <c r="C32" s="8">
        <v>1</v>
      </c>
      <c r="D32" s="8">
        <v>1</v>
      </c>
      <c r="E32" s="8">
        <v>0</v>
      </c>
      <c r="F32" s="8">
        <v>0</v>
      </c>
      <c r="G32" s="8">
        <v>0</v>
      </c>
      <c r="H32" s="8">
        <v>0</v>
      </c>
      <c r="I32" s="8">
        <v>1</v>
      </c>
      <c r="J32" s="8">
        <v>0</v>
      </c>
      <c r="K32" s="8">
        <v>1</v>
      </c>
      <c r="L32" s="8">
        <v>0</v>
      </c>
      <c r="M32" s="8">
        <v>1</v>
      </c>
      <c r="N32" s="8">
        <v>0</v>
      </c>
      <c r="O32" s="8">
        <v>1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1</v>
      </c>
      <c r="V32" s="8">
        <v>0</v>
      </c>
      <c r="W32" s="8">
        <v>0</v>
      </c>
      <c r="X32" s="8">
        <v>1</v>
      </c>
      <c r="Y32" s="8">
        <v>1</v>
      </c>
      <c r="Z32" s="8">
        <v>0</v>
      </c>
      <c r="AA32" s="8">
        <v>0</v>
      </c>
      <c r="AB32" s="8">
        <v>0</v>
      </c>
      <c r="AC32" s="8">
        <v>1</v>
      </c>
      <c r="AD32" s="8">
        <v>1</v>
      </c>
      <c r="AE32" s="8">
        <v>0</v>
      </c>
      <c r="AF32" s="8">
        <v>1</v>
      </c>
    </row>
    <row r="33" spans="1:32" x14ac:dyDescent="0.25">
      <c r="B33" s="7">
        <v>0.47916666666666669</v>
      </c>
      <c r="C33" s="8">
        <v>1</v>
      </c>
      <c r="D33" s="8">
        <v>0</v>
      </c>
      <c r="E33" s="8">
        <v>0</v>
      </c>
      <c r="F33" s="8">
        <v>0</v>
      </c>
      <c r="G33" s="8">
        <v>1</v>
      </c>
      <c r="H33" s="8">
        <v>1</v>
      </c>
      <c r="I33" s="8">
        <v>0</v>
      </c>
      <c r="J33" s="8">
        <v>0</v>
      </c>
      <c r="K33" s="8">
        <v>0</v>
      </c>
      <c r="L33" s="8">
        <v>1</v>
      </c>
      <c r="M33" s="8">
        <v>0</v>
      </c>
      <c r="N33" s="8">
        <v>1</v>
      </c>
      <c r="O33" s="8">
        <v>0</v>
      </c>
      <c r="P33" s="8">
        <v>1</v>
      </c>
      <c r="Q33" s="8">
        <v>0</v>
      </c>
      <c r="R33" s="8">
        <v>1</v>
      </c>
      <c r="S33" s="8">
        <v>1</v>
      </c>
      <c r="T33" s="8">
        <v>0</v>
      </c>
      <c r="U33" s="8">
        <v>0</v>
      </c>
      <c r="V33" s="8">
        <v>0</v>
      </c>
      <c r="W33" s="8">
        <v>1</v>
      </c>
      <c r="X33" s="8">
        <v>1</v>
      </c>
      <c r="Y33" s="8">
        <v>0</v>
      </c>
      <c r="Z33" s="8">
        <v>0</v>
      </c>
      <c r="AA33" s="8">
        <v>1</v>
      </c>
      <c r="AB33" s="8">
        <v>1</v>
      </c>
      <c r="AC33" s="8">
        <v>0</v>
      </c>
      <c r="AD33" s="8">
        <v>0</v>
      </c>
      <c r="AE33" s="8">
        <v>1</v>
      </c>
      <c r="AF33" s="8">
        <v>1</v>
      </c>
    </row>
    <row r="34" spans="1:32" x14ac:dyDescent="0.25">
      <c r="B34" s="7">
        <v>0.55208333333333304</v>
      </c>
      <c r="C34" s="8">
        <v>0</v>
      </c>
      <c r="D34" s="8">
        <v>1</v>
      </c>
      <c r="E34" s="8">
        <v>1</v>
      </c>
      <c r="F34" s="8">
        <v>0</v>
      </c>
      <c r="G34" s="8">
        <v>1</v>
      </c>
      <c r="H34" s="8">
        <v>0</v>
      </c>
      <c r="I34" s="8">
        <v>0</v>
      </c>
      <c r="J34" s="8">
        <v>1</v>
      </c>
      <c r="K34" s="8">
        <v>0</v>
      </c>
      <c r="L34" s="8">
        <v>0</v>
      </c>
      <c r="M34" s="8">
        <v>1</v>
      </c>
      <c r="N34" s="8">
        <v>0</v>
      </c>
      <c r="O34" s="8">
        <v>1</v>
      </c>
      <c r="P34" s="8">
        <v>0</v>
      </c>
      <c r="Q34" s="8">
        <v>0</v>
      </c>
      <c r="R34" s="8">
        <v>1</v>
      </c>
      <c r="S34" s="8">
        <v>0</v>
      </c>
      <c r="T34" s="8">
        <v>0</v>
      </c>
      <c r="U34" s="8">
        <v>0</v>
      </c>
      <c r="V34" s="8">
        <v>0</v>
      </c>
      <c r="W34" s="8">
        <v>1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</row>
    <row r="35" spans="1:32" x14ac:dyDescent="0.25">
      <c r="B35" s="7">
        <v>0.625</v>
      </c>
      <c r="C35" s="8">
        <v>0</v>
      </c>
      <c r="D35" s="8">
        <v>1</v>
      </c>
      <c r="E35" s="8">
        <v>0</v>
      </c>
      <c r="F35" s="8">
        <v>1</v>
      </c>
      <c r="G35" s="8">
        <v>0</v>
      </c>
      <c r="H35" s="8">
        <v>1</v>
      </c>
      <c r="I35" s="8">
        <v>1</v>
      </c>
      <c r="J35" s="8">
        <v>1</v>
      </c>
      <c r="K35" s="8">
        <v>0</v>
      </c>
      <c r="L35" s="8">
        <v>1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1</v>
      </c>
      <c r="T35" s="8">
        <v>1</v>
      </c>
      <c r="U35" s="8">
        <v>1</v>
      </c>
      <c r="V35" s="8">
        <v>0</v>
      </c>
      <c r="W35" s="8">
        <v>0</v>
      </c>
      <c r="X35" s="8">
        <v>1</v>
      </c>
      <c r="Y35" s="8">
        <v>0</v>
      </c>
      <c r="Z35" s="8">
        <v>1</v>
      </c>
      <c r="AA35" s="8">
        <v>0</v>
      </c>
      <c r="AB35" s="8">
        <v>1</v>
      </c>
      <c r="AC35" s="8">
        <v>0</v>
      </c>
      <c r="AD35" s="8">
        <v>1</v>
      </c>
      <c r="AE35" s="8">
        <v>0</v>
      </c>
      <c r="AF35" s="8">
        <v>0</v>
      </c>
    </row>
    <row r="36" spans="1:32" x14ac:dyDescent="0.25">
      <c r="B36" s="7">
        <v>0.69791666666666696</v>
      </c>
      <c r="C36" s="8">
        <v>0</v>
      </c>
      <c r="D36" s="8">
        <v>0</v>
      </c>
      <c r="E36" s="8">
        <v>1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1</v>
      </c>
      <c r="L36" s="8">
        <v>1</v>
      </c>
      <c r="M36" s="8">
        <v>1</v>
      </c>
      <c r="N36" s="8">
        <v>1</v>
      </c>
      <c r="O36" s="8">
        <v>0</v>
      </c>
      <c r="P36" s="8">
        <v>0</v>
      </c>
      <c r="Q36" s="8">
        <v>1</v>
      </c>
      <c r="R36" s="8">
        <v>0</v>
      </c>
      <c r="S36" s="8">
        <v>1</v>
      </c>
      <c r="T36" s="8">
        <v>0</v>
      </c>
      <c r="U36" s="8">
        <v>1</v>
      </c>
      <c r="V36" s="8">
        <v>0</v>
      </c>
      <c r="W36" s="8">
        <v>1</v>
      </c>
      <c r="X36" s="8">
        <v>0</v>
      </c>
      <c r="Y36" s="8">
        <v>1</v>
      </c>
      <c r="Z36" s="8">
        <v>0</v>
      </c>
      <c r="AA36" s="8">
        <v>0</v>
      </c>
      <c r="AB36" s="8">
        <v>1</v>
      </c>
      <c r="AC36" s="8">
        <v>1</v>
      </c>
      <c r="AD36" s="8">
        <v>0</v>
      </c>
      <c r="AE36" s="8">
        <v>1</v>
      </c>
      <c r="AF36" s="8">
        <v>1</v>
      </c>
    </row>
    <row r="37" spans="1:32" x14ac:dyDescent="0.25">
      <c r="A37" t="s">
        <v>19</v>
      </c>
      <c r="B37" s="7">
        <v>0.33333333333333331</v>
      </c>
      <c r="C37" s="8">
        <v>0</v>
      </c>
      <c r="D37" s="8">
        <v>0</v>
      </c>
      <c r="E37" s="8">
        <v>1</v>
      </c>
      <c r="F37" s="8">
        <v>1</v>
      </c>
      <c r="G37" s="8">
        <v>0</v>
      </c>
      <c r="H37" s="8">
        <v>0</v>
      </c>
      <c r="I37" s="8">
        <v>0</v>
      </c>
      <c r="J37" s="8">
        <v>0</v>
      </c>
      <c r="K37" s="8">
        <v>1</v>
      </c>
      <c r="L37" s="8">
        <v>1</v>
      </c>
      <c r="M37" s="8">
        <v>0</v>
      </c>
      <c r="N37" s="8">
        <v>1</v>
      </c>
      <c r="O37" s="8">
        <v>0</v>
      </c>
      <c r="P37" s="8">
        <v>1</v>
      </c>
      <c r="Q37" s="8">
        <v>1</v>
      </c>
      <c r="R37" s="8">
        <v>1</v>
      </c>
      <c r="S37" s="8">
        <v>0</v>
      </c>
      <c r="T37" s="8">
        <v>0</v>
      </c>
      <c r="U37" s="8">
        <v>0</v>
      </c>
      <c r="V37" s="8">
        <v>1</v>
      </c>
      <c r="W37" s="8">
        <v>0</v>
      </c>
      <c r="X37" s="8">
        <v>1</v>
      </c>
      <c r="Y37" s="8">
        <v>1</v>
      </c>
      <c r="Z37" s="8">
        <v>1</v>
      </c>
      <c r="AA37" s="8">
        <v>1</v>
      </c>
      <c r="AB37" s="8">
        <v>1</v>
      </c>
      <c r="AC37" s="8">
        <v>1</v>
      </c>
      <c r="AD37" s="8">
        <v>0</v>
      </c>
      <c r="AE37" s="8">
        <v>1</v>
      </c>
      <c r="AF37" s="8">
        <v>0</v>
      </c>
    </row>
    <row r="38" spans="1:32" x14ac:dyDescent="0.25">
      <c r="B38" s="7">
        <v>0.40625</v>
      </c>
      <c r="C38" s="8">
        <v>0</v>
      </c>
      <c r="D38" s="8">
        <v>0</v>
      </c>
      <c r="E38" s="8">
        <v>1</v>
      </c>
      <c r="F38" s="8">
        <v>1</v>
      </c>
      <c r="G38" s="8">
        <v>0</v>
      </c>
      <c r="H38" s="8">
        <v>0</v>
      </c>
      <c r="I38" s="8">
        <v>0</v>
      </c>
      <c r="J38" s="8">
        <v>1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1</v>
      </c>
      <c r="Q38" s="8">
        <v>1</v>
      </c>
      <c r="R38" s="8">
        <v>0</v>
      </c>
      <c r="S38" s="8">
        <v>1</v>
      </c>
      <c r="T38" s="8">
        <v>0</v>
      </c>
      <c r="U38" s="8">
        <v>0</v>
      </c>
      <c r="V38" s="8">
        <v>1</v>
      </c>
      <c r="W38" s="8">
        <v>0</v>
      </c>
      <c r="X38" s="8">
        <v>1</v>
      </c>
      <c r="Y38" s="8">
        <v>0</v>
      </c>
      <c r="Z38" s="8">
        <v>0</v>
      </c>
      <c r="AA38" s="8">
        <v>1</v>
      </c>
      <c r="AB38" s="8">
        <v>0</v>
      </c>
      <c r="AC38" s="8">
        <v>0</v>
      </c>
      <c r="AD38" s="8">
        <v>1</v>
      </c>
      <c r="AE38" s="8">
        <v>0</v>
      </c>
      <c r="AF38" s="8">
        <v>1</v>
      </c>
    </row>
    <row r="39" spans="1:32" x14ac:dyDescent="0.25">
      <c r="B39" s="7">
        <v>0.47916666666666669</v>
      </c>
      <c r="C39" s="8">
        <v>0</v>
      </c>
      <c r="D39" s="8">
        <v>0</v>
      </c>
      <c r="E39" s="8">
        <v>0</v>
      </c>
      <c r="F39" s="8">
        <v>0</v>
      </c>
      <c r="G39" s="8">
        <v>1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1</v>
      </c>
      <c r="R39" s="8">
        <v>0</v>
      </c>
      <c r="S39" s="8">
        <v>1</v>
      </c>
      <c r="T39" s="8">
        <v>1</v>
      </c>
      <c r="U39" s="8">
        <v>0</v>
      </c>
      <c r="V39" s="8">
        <v>0</v>
      </c>
      <c r="W39" s="8">
        <v>1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</row>
    <row r="40" spans="1:32" x14ac:dyDescent="0.25">
      <c r="B40" s="7">
        <v>0.55208333333333304</v>
      </c>
      <c r="C40" s="8">
        <v>1</v>
      </c>
      <c r="D40" s="8">
        <v>1</v>
      </c>
      <c r="E40" s="8">
        <v>0</v>
      </c>
      <c r="F40" s="8">
        <v>1</v>
      </c>
      <c r="G40" s="8">
        <v>0</v>
      </c>
      <c r="H40" s="8">
        <v>0</v>
      </c>
      <c r="I40" s="8">
        <v>1</v>
      </c>
      <c r="J40" s="8">
        <v>0</v>
      </c>
      <c r="K40" s="8">
        <v>0</v>
      </c>
      <c r="L40" s="8">
        <v>0</v>
      </c>
      <c r="M40" s="8">
        <v>0</v>
      </c>
      <c r="N40" s="8">
        <v>1</v>
      </c>
      <c r="O40" s="8">
        <v>1</v>
      </c>
      <c r="P40" s="8">
        <v>0</v>
      </c>
      <c r="Q40" s="8">
        <v>0</v>
      </c>
      <c r="R40" s="8">
        <v>1</v>
      </c>
      <c r="S40" s="8">
        <v>0</v>
      </c>
      <c r="T40" s="8">
        <v>0</v>
      </c>
      <c r="U40" s="8">
        <v>0</v>
      </c>
      <c r="V40" s="8">
        <v>1</v>
      </c>
      <c r="W40" s="8">
        <v>0</v>
      </c>
      <c r="X40" s="8">
        <v>0</v>
      </c>
      <c r="Y40" s="8">
        <v>0</v>
      </c>
      <c r="Z40" s="8">
        <v>1</v>
      </c>
      <c r="AA40" s="8">
        <v>0</v>
      </c>
      <c r="AB40" s="8">
        <v>0</v>
      </c>
      <c r="AC40" s="8">
        <v>1</v>
      </c>
      <c r="AD40" s="8">
        <v>0</v>
      </c>
      <c r="AE40" s="8">
        <v>1</v>
      </c>
      <c r="AF40" s="8">
        <v>0</v>
      </c>
    </row>
    <row r="41" spans="1:32" x14ac:dyDescent="0.25">
      <c r="B41" s="7">
        <v>0.625</v>
      </c>
      <c r="C41" s="8">
        <v>1</v>
      </c>
      <c r="D41" s="8">
        <v>0</v>
      </c>
      <c r="E41" s="8">
        <v>1</v>
      </c>
      <c r="F41" s="8">
        <v>0</v>
      </c>
      <c r="G41" s="8">
        <v>1</v>
      </c>
      <c r="H41" s="8">
        <v>1</v>
      </c>
      <c r="I41" s="8">
        <v>1</v>
      </c>
      <c r="J41" s="8">
        <v>1</v>
      </c>
      <c r="K41" s="8">
        <v>0</v>
      </c>
      <c r="L41" s="8">
        <v>1</v>
      </c>
      <c r="M41" s="8">
        <v>0</v>
      </c>
      <c r="N41" s="8">
        <v>0</v>
      </c>
      <c r="O41" s="8">
        <v>1</v>
      </c>
      <c r="P41" s="8">
        <v>0</v>
      </c>
      <c r="Q41" s="8">
        <v>0</v>
      </c>
      <c r="R41" s="8">
        <v>0</v>
      </c>
      <c r="S41" s="8">
        <v>0</v>
      </c>
      <c r="T41" s="8">
        <v>1</v>
      </c>
      <c r="U41" s="8">
        <v>1</v>
      </c>
      <c r="V41" s="8">
        <v>0</v>
      </c>
      <c r="W41" s="8">
        <v>0</v>
      </c>
      <c r="X41" s="8">
        <v>0</v>
      </c>
      <c r="Y41" s="8">
        <v>1</v>
      </c>
      <c r="Z41" s="8">
        <v>1</v>
      </c>
      <c r="AA41" s="8">
        <v>0</v>
      </c>
      <c r="AB41" s="8">
        <v>0</v>
      </c>
      <c r="AC41" s="8">
        <v>1</v>
      </c>
      <c r="AD41" s="8">
        <v>1</v>
      </c>
      <c r="AE41" s="8">
        <v>0</v>
      </c>
      <c r="AF41" s="8">
        <v>0</v>
      </c>
    </row>
    <row r="42" spans="1:32" x14ac:dyDescent="0.25">
      <c r="B42" s="7">
        <v>0.69791666666666696</v>
      </c>
      <c r="C42" s="8">
        <v>1</v>
      </c>
      <c r="D42" s="8">
        <v>1</v>
      </c>
      <c r="E42" s="8">
        <v>0</v>
      </c>
      <c r="F42" s="8">
        <v>0</v>
      </c>
      <c r="G42" s="8">
        <v>1</v>
      </c>
      <c r="H42" s="8">
        <v>1</v>
      </c>
      <c r="I42" s="8">
        <v>1</v>
      </c>
      <c r="J42" s="8">
        <v>1</v>
      </c>
      <c r="K42" s="8">
        <v>1</v>
      </c>
      <c r="L42" s="8">
        <v>0</v>
      </c>
      <c r="M42" s="8">
        <v>1</v>
      </c>
      <c r="N42" s="8">
        <v>1</v>
      </c>
      <c r="O42" s="8">
        <v>1</v>
      </c>
      <c r="P42" s="8">
        <v>1</v>
      </c>
      <c r="Q42" s="8">
        <v>0</v>
      </c>
      <c r="R42" s="8">
        <v>1</v>
      </c>
      <c r="S42" s="8">
        <v>0</v>
      </c>
      <c r="T42" s="8">
        <v>1</v>
      </c>
      <c r="U42" s="8">
        <v>1</v>
      </c>
      <c r="V42" s="8">
        <v>1</v>
      </c>
      <c r="W42" s="8">
        <v>1</v>
      </c>
      <c r="X42" s="8">
        <v>0</v>
      </c>
      <c r="Y42" s="8">
        <v>0</v>
      </c>
      <c r="Z42" s="8">
        <v>1</v>
      </c>
      <c r="AA42" s="8">
        <v>1</v>
      </c>
      <c r="AB42" s="8">
        <v>0</v>
      </c>
      <c r="AC42" s="8">
        <v>0</v>
      </c>
      <c r="AD42" s="8">
        <v>1</v>
      </c>
      <c r="AE42" s="8">
        <v>0</v>
      </c>
      <c r="AF42" s="8">
        <v>0</v>
      </c>
    </row>
    <row r="43" spans="1:32" x14ac:dyDescent="0.25">
      <c r="A43" t="s">
        <v>20</v>
      </c>
      <c r="B43" s="7">
        <v>0.33333333333333331</v>
      </c>
      <c r="C43" s="8">
        <v>0</v>
      </c>
      <c r="D43" s="8">
        <v>0</v>
      </c>
      <c r="E43" s="8">
        <v>0</v>
      </c>
      <c r="F43" s="8">
        <v>1</v>
      </c>
      <c r="G43" s="8">
        <v>0</v>
      </c>
      <c r="H43" s="8">
        <v>1</v>
      </c>
      <c r="I43" s="8">
        <v>0</v>
      </c>
      <c r="J43" s="8">
        <v>0</v>
      </c>
      <c r="K43" s="8">
        <v>1</v>
      </c>
      <c r="L43" s="8">
        <v>0</v>
      </c>
      <c r="M43" s="8">
        <v>1</v>
      </c>
      <c r="N43" s="8">
        <v>0</v>
      </c>
      <c r="O43" s="8">
        <v>0</v>
      </c>
      <c r="P43" s="8">
        <v>1</v>
      </c>
      <c r="Q43" s="8">
        <v>1</v>
      </c>
      <c r="R43" s="8">
        <v>0</v>
      </c>
      <c r="S43" s="8">
        <v>0</v>
      </c>
      <c r="T43" s="8">
        <v>1</v>
      </c>
      <c r="U43" s="8">
        <v>0</v>
      </c>
      <c r="V43" s="8">
        <v>1</v>
      </c>
      <c r="W43" s="8">
        <v>0</v>
      </c>
      <c r="X43" s="8">
        <v>0</v>
      </c>
      <c r="Y43" s="8">
        <v>1</v>
      </c>
      <c r="Z43" s="8">
        <v>0</v>
      </c>
      <c r="AA43" s="8">
        <v>1</v>
      </c>
      <c r="AB43" s="8">
        <v>1</v>
      </c>
      <c r="AC43" s="8">
        <v>0</v>
      </c>
      <c r="AD43" s="8">
        <v>0</v>
      </c>
      <c r="AE43" s="8">
        <v>1</v>
      </c>
      <c r="AF43" s="8">
        <v>1</v>
      </c>
    </row>
    <row r="44" spans="1:32" x14ac:dyDescent="0.25">
      <c r="B44" s="7">
        <v>0.40625</v>
      </c>
      <c r="C44" s="8">
        <v>1</v>
      </c>
      <c r="D44" s="8">
        <v>1</v>
      </c>
      <c r="E44" s="8">
        <v>0</v>
      </c>
      <c r="F44" s="8">
        <v>0</v>
      </c>
      <c r="G44" s="8">
        <v>0</v>
      </c>
      <c r="H44" s="8">
        <v>0</v>
      </c>
      <c r="I44" s="8">
        <v>1</v>
      </c>
      <c r="J44" s="8">
        <v>0</v>
      </c>
      <c r="K44" s="8">
        <v>1</v>
      </c>
      <c r="L44" s="8">
        <v>0</v>
      </c>
      <c r="M44" s="8">
        <v>1</v>
      </c>
      <c r="N44" s="8">
        <v>0</v>
      </c>
      <c r="O44" s="8">
        <v>1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1</v>
      </c>
      <c r="V44" s="8">
        <v>0</v>
      </c>
      <c r="W44" s="8">
        <v>0</v>
      </c>
      <c r="X44" s="8">
        <v>1</v>
      </c>
      <c r="Y44" s="8">
        <v>1</v>
      </c>
      <c r="Z44" s="8">
        <v>0</v>
      </c>
      <c r="AA44" s="8">
        <v>0</v>
      </c>
      <c r="AB44" s="8">
        <v>0</v>
      </c>
      <c r="AC44" s="8">
        <v>1</v>
      </c>
      <c r="AD44" s="8">
        <v>1</v>
      </c>
      <c r="AE44" s="8">
        <v>0</v>
      </c>
      <c r="AF44" s="8">
        <v>1</v>
      </c>
    </row>
    <row r="45" spans="1:32" x14ac:dyDescent="0.25">
      <c r="B45" s="7">
        <v>0.47916666666666669</v>
      </c>
      <c r="C45" s="8">
        <v>1</v>
      </c>
      <c r="D45" s="8">
        <v>0</v>
      </c>
      <c r="E45" s="8">
        <v>0</v>
      </c>
      <c r="F45" s="8">
        <v>0</v>
      </c>
      <c r="G45" s="8">
        <v>1</v>
      </c>
      <c r="H45" s="8">
        <v>1</v>
      </c>
      <c r="I45" s="8">
        <v>0</v>
      </c>
      <c r="J45" s="8">
        <v>0</v>
      </c>
      <c r="K45" s="8">
        <v>0</v>
      </c>
      <c r="L45" s="8">
        <v>1</v>
      </c>
      <c r="M45" s="8">
        <v>0</v>
      </c>
      <c r="N45" s="8">
        <v>1</v>
      </c>
      <c r="O45" s="8">
        <v>0</v>
      </c>
      <c r="P45" s="8">
        <v>1</v>
      </c>
      <c r="Q45" s="8">
        <v>0</v>
      </c>
      <c r="R45" s="8">
        <v>1</v>
      </c>
      <c r="S45" s="8">
        <v>1</v>
      </c>
      <c r="T45" s="8">
        <v>0</v>
      </c>
      <c r="U45" s="8">
        <v>0</v>
      </c>
      <c r="V45" s="8">
        <v>0</v>
      </c>
      <c r="W45" s="8">
        <v>1</v>
      </c>
      <c r="X45" s="8">
        <v>1</v>
      </c>
      <c r="Y45" s="8">
        <v>0</v>
      </c>
      <c r="Z45" s="8">
        <v>0</v>
      </c>
      <c r="AA45" s="8">
        <v>1</v>
      </c>
      <c r="AB45" s="8">
        <v>1</v>
      </c>
      <c r="AC45" s="8">
        <v>0</v>
      </c>
      <c r="AD45" s="8">
        <v>0</v>
      </c>
      <c r="AE45" s="8">
        <v>1</v>
      </c>
      <c r="AF45" s="8">
        <v>1</v>
      </c>
    </row>
    <row r="46" spans="1:32" x14ac:dyDescent="0.25">
      <c r="B46" s="7">
        <v>0.55208333333333304</v>
      </c>
      <c r="C46" s="8">
        <v>0</v>
      </c>
      <c r="D46" s="8">
        <v>1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1</v>
      </c>
      <c r="K46" s="8">
        <v>0</v>
      </c>
      <c r="L46" s="8">
        <v>0</v>
      </c>
      <c r="M46" s="8">
        <v>1</v>
      </c>
      <c r="N46" s="8">
        <v>0</v>
      </c>
      <c r="O46" s="8">
        <v>1</v>
      </c>
      <c r="P46" s="8">
        <v>0</v>
      </c>
      <c r="Q46" s="8">
        <v>0</v>
      </c>
      <c r="R46" s="8">
        <v>1</v>
      </c>
      <c r="S46" s="8">
        <v>0</v>
      </c>
      <c r="T46" s="8">
        <v>0</v>
      </c>
      <c r="U46" s="8">
        <v>0</v>
      </c>
      <c r="V46" s="8">
        <v>0</v>
      </c>
      <c r="W46" s="8">
        <v>1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</row>
    <row r="47" spans="1:32" x14ac:dyDescent="0.25">
      <c r="B47" s="7">
        <v>0.625</v>
      </c>
      <c r="C47" s="8">
        <v>0</v>
      </c>
      <c r="D47" s="8">
        <v>1</v>
      </c>
      <c r="E47" s="8">
        <v>0</v>
      </c>
      <c r="F47" s="8">
        <v>1</v>
      </c>
      <c r="G47" s="8">
        <v>0</v>
      </c>
      <c r="H47" s="8">
        <v>1</v>
      </c>
      <c r="I47" s="8">
        <v>1</v>
      </c>
      <c r="J47" s="8">
        <v>1</v>
      </c>
      <c r="K47" s="8">
        <v>0</v>
      </c>
      <c r="L47" s="8">
        <v>1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1</v>
      </c>
      <c r="T47" s="8">
        <v>1</v>
      </c>
      <c r="U47" s="8">
        <v>1</v>
      </c>
      <c r="V47" s="8">
        <v>0</v>
      </c>
      <c r="W47" s="8">
        <v>0</v>
      </c>
      <c r="X47" s="8">
        <v>1</v>
      </c>
      <c r="Y47" s="8">
        <v>0</v>
      </c>
      <c r="Z47" s="8">
        <v>1</v>
      </c>
      <c r="AA47" s="8">
        <v>0</v>
      </c>
      <c r="AB47" s="8">
        <v>1</v>
      </c>
      <c r="AC47" s="8">
        <v>0</v>
      </c>
      <c r="AD47" s="8">
        <v>1</v>
      </c>
      <c r="AE47" s="8">
        <v>0</v>
      </c>
      <c r="AF47" s="8">
        <v>0</v>
      </c>
    </row>
    <row r="48" spans="1:32" x14ac:dyDescent="0.25">
      <c r="B48" s="7">
        <v>0.69791666666666696</v>
      </c>
      <c r="C48" s="8">
        <v>0</v>
      </c>
      <c r="D48" s="8">
        <v>0</v>
      </c>
      <c r="E48" s="8">
        <v>1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1</v>
      </c>
      <c r="L48" s="8">
        <v>1</v>
      </c>
      <c r="M48" s="8">
        <v>1</v>
      </c>
      <c r="N48" s="8">
        <v>1</v>
      </c>
      <c r="O48" s="8">
        <v>0</v>
      </c>
      <c r="P48" s="8">
        <v>0</v>
      </c>
      <c r="Q48" s="8">
        <v>1</v>
      </c>
      <c r="R48" s="8">
        <v>0</v>
      </c>
      <c r="S48" s="8">
        <v>1</v>
      </c>
      <c r="T48" s="8">
        <v>0</v>
      </c>
      <c r="U48" s="8">
        <v>1</v>
      </c>
      <c r="V48" s="8">
        <v>0</v>
      </c>
      <c r="W48" s="8">
        <v>1</v>
      </c>
      <c r="X48" s="8">
        <v>0</v>
      </c>
      <c r="Y48" s="8">
        <v>1</v>
      </c>
      <c r="Z48" s="8">
        <v>0</v>
      </c>
      <c r="AA48" s="8">
        <v>0</v>
      </c>
      <c r="AB48" s="8">
        <v>1</v>
      </c>
      <c r="AC48" s="8">
        <v>1</v>
      </c>
      <c r="AD48" s="8">
        <v>0</v>
      </c>
      <c r="AE48" s="8">
        <v>1</v>
      </c>
      <c r="AF48" s="8">
        <v>1</v>
      </c>
    </row>
    <row r="49" spans="1:32" x14ac:dyDescent="0.25">
      <c r="A49" t="s">
        <v>21</v>
      </c>
      <c r="B49" s="7">
        <v>0.33333333333333331</v>
      </c>
      <c r="C49" s="8">
        <v>0</v>
      </c>
      <c r="D49" s="8">
        <v>0</v>
      </c>
      <c r="E49" s="8">
        <v>1</v>
      </c>
      <c r="F49" s="8">
        <v>1</v>
      </c>
      <c r="G49" s="8">
        <v>0</v>
      </c>
      <c r="H49" s="8">
        <v>0</v>
      </c>
      <c r="I49" s="8">
        <v>0</v>
      </c>
      <c r="J49" s="8">
        <v>0</v>
      </c>
      <c r="K49" s="8">
        <v>1</v>
      </c>
      <c r="L49" s="8">
        <v>1</v>
      </c>
      <c r="M49" s="8">
        <v>0</v>
      </c>
      <c r="N49" s="8">
        <v>1</v>
      </c>
      <c r="O49" s="8">
        <v>0</v>
      </c>
      <c r="P49" s="8">
        <v>1</v>
      </c>
      <c r="Q49" s="8">
        <v>1</v>
      </c>
      <c r="R49" s="8">
        <v>1</v>
      </c>
      <c r="S49" s="8">
        <v>0</v>
      </c>
      <c r="T49" s="8">
        <v>0</v>
      </c>
      <c r="U49" s="8">
        <v>0</v>
      </c>
      <c r="V49" s="8">
        <v>1</v>
      </c>
      <c r="W49" s="8">
        <v>0</v>
      </c>
      <c r="X49" s="8">
        <v>1</v>
      </c>
      <c r="Y49" s="8">
        <v>1</v>
      </c>
      <c r="Z49" s="8">
        <v>1</v>
      </c>
      <c r="AA49" s="8">
        <v>1</v>
      </c>
      <c r="AB49" s="8">
        <v>1</v>
      </c>
      <c r="AC49" s="8">
        <v>1</v>
      </c>
      <c r="AD49" s="8">
        <v>0</v>
      </c>
      <c r="AE49" s="8">
        <v>1</v>
      </c>
      <c r="AF49" s="8">
        <v>0</v>
      </c>
    </row>
    <row r="50" spans="1:32" x14ac:dyDescent="0.25">
      <c r="B50" s="7">
        <v>0.40625</v>
      </c>
      <c r="C50" s="8">
        <v>0</v>
      </c>
      <c r="D50" s="8">
        <v>0</v>
      </c>
      <c r="E50" s="8">
        <v>1</v>
      </c>
      <c r="F50" s="8">
        <v>1</v>
      </c>
      <c r="G50" s="8">
        <v>0</v>
      </c>
      <c r="H50" s="8">
        <v>0</v>
      </c>
      <c r="I50" s="8">
        <v>0</v>
      </c>
      <c r="J50" s="8">
        <v>1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1</v>
      </c>
      <c r="Q50" s="8">
        <v>1</v>
      </c>
      <c r="R50" s="8">
        <v>0</v>
      </c>
      <c r="S50" s="8">
        <v>1</v>
      </c>
      <c r="T50" s="8">
        <v>0</v>
      </c>
      <c r="U50" s="8">
        <v>0</v>
      </c>
      <c r="V50" s="8">
        <v>1</v>
      </c>
      <c r="W50" s="8">
        <v>0</v>
      </c>
      <c r="X50" s="8">
        <v>1</v>
      </c>
      <c r="Y50" s="8">
        <v>0</v>
      </c>
      <c r="Z50" s="8">
        <v>0</v>
      </c>
      <c r="AA50" s="8">
        <v>1</v>
      </c>
      <c r="AB50" s="8">
        <v>0</v>
      </c>
      <c r="AC50" s="8">
        <v>0</v>
      </c>
      <c r="AD50" s="8">
        <v>1</v>
      </c>
      <c r="AE50" s="8">
        <v>0</v>
      </c>
      <c r="AF50" s="8">
        <v>1</v>
      </c>
    </row>
    <row r="51" spans="1:32" x14ac:dyDescent="0.25">
      <c r="B51" s="7">
        <v>0.47916666666666669</v>
      </c>
      <c r="C51" s="8">
        <v>0</v>
      </c>
      <c r="D51" s="8">
        <v>0</v>
      </c>
      <c r="E51" s="8">
        <v>0</v>
      </c>
      <c r="F51" s="8">
        <v>0</v>
      </c>
      <c r="G51" s="8">
        <v>1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1</v>
      </c>
      <c r="R51" s="8">
        <v>0</v>
      </c>
      <c r="S51" s="8">
        <v>1</v>
      </c>
      <c r="T51" s="8">
        <v>1</v>
      </c>
      <c r="U51" s="8">
        <v>0</v>
      </c>
      <c r="V51" s="8">
        <v>0</v>
      </c>
      <c r="W51" s="8">
        <v>1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</row>
    <row r="52" spans="1:32" x14ac:dyDescent="0.25">
      <c r="B52" s="7">
        <v>0.55208333333333304</v>
      </c>
      <c r="C52" s="8">
        <v>1</v>
      </c>
      <c r="D52" s="8">
        <v>1</v>
      </c>
      <c r="E52" s="8">
        <v>0</v>
      </c>
      <c r="F52" s="8">
        <v>1</v>
      </c>
      <c r="G52" s="8">
        <v>0</v>
      </c>
      <c r="H52" s="8">
        <v>0</v>
      </c>
      <c r="I52" s="8">
        <v>1</v>
      </c>
      <c r="J52" s="8">
        <v>0</v>
      </c>
      <c r="K52" s="8">
        <v>0</v>
      </c>
      <c r="L52" s="8">
        <v>0</v>
      </c>
      <c r="M52" s="8">
        <v>0</v>
      </c>
      <c r="N52" s="8">
        <v>1</v>
      </c>
      <c r="O52" s="8">
        <v>1</v>
      </c>
      <c r="P52" s="8">
        <v>0</v>
      </c>
      <c r="Q52" s="8">
        <v>0</v>
      </c>
      <c r="R52" s="8">
        <v>1</v>
      </c>
      <c r="S52" s="8">
        <v>0</v>
      </c>
      <c r="T52" s="8">
        <v>0</v>
      </c>
      <c r="U52" s="8">
        <v>0</v>
      </c>
      <c r="V52" s="8">
        <v>1</v>
      </c>
      <c r="W52" s="8">
        <v>0</v>
      </c>
      <c r="X52" s="8">
        <v>0</v>
      </c>
      <c r="Y52" s="8">
        <v>0</v>
      </c>
      <c r="Z52" s="8">
        <v>1</v>
      </c>
      <c r="AA52" s="8">
        <v>0</v>
      </c>
      <c r="AB52" s="8">
        <v>0</v>
      </c>
      <c r="AC52" s="8">
        <v>1</v>
      </c>
      <c r="AD52" s="8">
        <v>0</v>
      </c>
      <c r="AE52" s="8">
        <v>1</v>
      </c>
      <c r="AF52" s="8">
        <v>0</v>
      </c>
    </row>
    <row r="53" spans="1:32" x14ac:dyDescent="0.25">
      <c r="B53" s="7">
        <v>0.625</v>
      </c>
      <c r="C53" s="8">
        <v>1</v>
      </c>
      <c r="D53" s="8">
        <v>0</v>
      </c>
      <c r="E53" s="8">
        <v>1</v>
      </c>
      <c r="F53" s="8">
        <v>0</v>
      </c>
      <c r="G53" s="8">
        <v>1</v>
      </c>
      <c r="H53" s="8">
        <v>1</v>
      </c>
      <c r="I53" s="8">
        <v>1</v>
      </c>
      <c r="J53" s="8">
        <v>1</v>
      </c>
      <c r="K53" s="8">
        <v>0</v>
      </c>
      <c r="L53" s="8">
        <v>1</v>
      </c>
      <c r="M53" s="8">
        <v>0</v>
      </c>
      <c r="N53" s="8">
        <v>0</v>
      </c>
      <c r="O53" s="8">
        <v>1</v>
      </c>
      <c r="P53" s="8">
        <v>0</v>
      </c>
      <c r="Q53" s="8">
        <v>0</v>
      </c>
      <c r="R53" s="8">
        <v>0</v>
      </c>
      <c r="S53" s="8">
        <v>0</v>
      </c>
      <c r="T53" s="8">
        <v>1</v>
      </c>
      <c r="U53" s="8">
        <v>1</v>
      </c>
      <c r="V53" s="8">
        <v>0</v>
      </c>
      <c r="W53" s="8">
        <v>0</v>
      </c>
      <c r="X53" s="8">
        <v>0</v>
      </c>
      <c r="Y53" s="8">
        <v>1</v>
      </c>
      <c r="Z53" s="8">
        <v>1</v>
      </c>
      <c r="AA53" s="8">
        <v>0</v>
      </c>
      <c r="AB53" s="8">
        <v>0</v>
      </c>
      <c r="AC53" s="8">
        <v>1</v>
      </c>
      <c r="AD53" s="8">
        <v>1</v>
      </c>
      <c r="AE53" s="8">
        <v>0</v>
      </c>
      <c r="AF53" s="8">
        <v>0</v>
      </c>
    </row>
    <row r="54" spans="1:32" x14ac:dyDescent="0.25">
      <c r="B54" s="7">
        <v>0.69791666666666696</v>
      </c>
      <c r="C54" s="8">
        <v>1</v>
      </c>
      <c r="D54" s="8">
        <v>1</v>
      </c>
      <c r="E54" s="8">
        <v>0</v>
      </c>
      <c r="F54" s="8">
        <v>0</v>
      </c>
      <c r="G54" s="8">
        <v>1</v>
      </c>
      <c r="H54" s="8">
        <v>1</v>
      </c>
      <c r="I54" s="8">
        <v>1</v>
      </c>
      <c r="J54" s="8">
        <v>1</v>
      </c>
      <c r="K54" s="8">
        <v>1</v>
      </c>
      <c r="L54" s="8">
        <v>0</v>
      </c>
      <c r="M54" s="8">
        <v>1</v>
      </c>
      <c r="N54" s="8">
        <v>1</v>
      </c>
      <c r="O54" s="8">
        <v>1</v>
      </c>
      <c r="P54" s="8">
        <v>1</v>
      </c>
      <c r="Q54" s="8">
        <v>0</v>
      </c>
      <c r="R54" s="8">
        <v>1</v>
      </c>
      <c r="S54" s="8">
        <v>0</v>
      </c>
      <c r="T54" s="8">
        <v>1</v>
      </c>
      <c r="U54" s="8">
        <v>1</v>
      </c>
      <c r="V54" s="8">
        <v>1</v>
      </c>
      <c r="W54" s="8">
        <v>1</v>
      </c>
      <c r="X54" s="8">
        <v>0</v>
      </c>
      <c r="Y54" s="8">
        <v>0</v>
      </c>
      <c r="Z54" s="8">
        <v>1</v>
      </c>
      <c r="AA54" s="8">
        <v>1</v>
      </c>
      <c r="AB54" s="8">
        <v>0</v>
      </c>
      <c r="AC54" s="8">
        <v>0</v>
      </c>
      <c r="AD54" s="8">
        <v>1</v>
      </c>
      <c r="AE54" s="8">
        <v>0</v>
      </c>
      <c r="AF54" s="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A13D-577E-4109-8E91-5C59915173BD}">
  <dimension ref="A1:D4"/>
  <sheetViews>
    <sheetView workbookViewId="0">
      <selection activeCell="A2" sqref="A2"/>
    </sheetView>
  </sheetViews>
  <sheetFormatPr defaultRowHeight="15" x14ac:dyDescent="0.25"/>
  <cols>
    <col min="1" max="1" width="19.42578125" customWidth="1"/>
    <col min="3" max="3" width="37.7109375" bestFit="1" customWidth="1"/>
    <col min="7" max="7" width="14.42578125" bestFit="1" customWidth="1"/>
    <col min="9" max="9" width="12" bestFit="1" customWidth="1"/>
  </cols>
  <sheetData>
    <row r="1" spans="1:4" x14ac:dyDescent="0.25">
      <c r="A1" s="13" t="s">
        <v>59</v>
      </c>
      <c r="C1" s="6" t="s">
        <v>60</v>
      </c>
      <c r="D1" s="14">
        <v>3</v>
      </c>
    </row>
    <row r="2" spans="1:4" x14ac:dyDescent="0.25">
      <c r="A2" t="s">
        <v>61</v>
      </c>
      <c r="B2" t="s">
        <v>62</v>
      </c>
      <c r="C2" t="s">
        <v>63</v>
      </c>
    </row>
    <row r="3" spans="1:4" x14ac:dyDescent="0.25">
      <c r="A3" t="s">
        <v>64</v>
      </c>
      <c r="B3" t="s">
        <v>65</v>
      </c>
      <c r="C3" t="s">
        <v>66</v>
      </c>
    </row>
    <row r="4" spans="1:4" x14ac:dyDescent="0.25">
      <c r="A4" t="s">
        <v>67</v>
      </c>
      <c r="B4" t="s">
        <v>68</v>
      </c>
      <c r="C4" t="s">
        <v>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E03CEACB0B724C9384878E64542650" ma:contentTypeVersion="15" ma:contentTypeDescription="Create a new document." ma:contentTypeScope="" ma:versionID="9eba6377983d91ea4bc788a0f50375d6">
  <xsd:schema xmlns:xsd="http://www.w3.org/2001/XMLSchema" xmlns:xs="http://www.w3.org/2001/XMLSchema" xmlns:p="http://schemas.microsoft.com/office/2006/metadata/properties" xmlns:ns3="4100d6d4-8bb5-430a-8ffd-c376b3a15adb" xmlns:ns4="fe3c4e1f-9d27-41d5-b143-c9cfed9f43a5" targetNamespace="http://schemas.microsoft.com/office/2006/metadata/properties" ma:root="true" ma:fieldsID="da16b15f0dfb036e3ebbdfdf2e785a4a" ns3:_="" ns4:_="">
    <xsd:import namespace="4100d6d4-8bb5-430a-8ffd-c376b3a15adb"/>
    <xsd:import namespace="fe3c4e1f-9d27-41d5-b143-c9cfed9f43a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00d6d4-8bb5-430a-8ffd-c376b3a15a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c4e1f-9d27-41d5-b143-c9cfed9f43a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100d6d4-8bb5-430a-8ffd-c376b3a15adb" xsi:nil="true"/>
  </documentManagement>
</p:properties>
</file>

<file path=customXml/itemProps1.xml><?xml version="1.0" encoding="utf-8"?>
<ds:datastoreItem xmlns:ds="http://schemas.openxmlformats.org/officeDocument/2006/customXml" ds:itemID="{667C4C45-B0D2-442F-9E92-488E64A472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00d6d4-8bb5-430a-8ffd-c376b3a15adb"/>
    <ds:schemaRef ds:uri="fe3c4e1f-9d27-41d5-b143-c9cfed9f43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465E52-E365-4AF4-9F04-2BFF40500F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21DE11-FF8D-4E37-98D3-1241543588FE}">
  <ds:schemaRefs>
    <ds:schemaRef ds:uri="http://purl.org/dc/elements/1.1/"/>
    <ds:schemaRef ds:uri="http://purl.org/dc/terms/"/>
    <ds:schemaRef ds:uri="http://purl.org/dc/dcmitype/"/>
    <ds:schemaRef ds:uri="4100d6d4-8bb5-430a-8ffd-c376b3a15adb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fe3c4e1f-9d27-41d5-b143-c9cfed9f43a5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Part (1)</vt:lpstr>
      <vt:lpstr>Part (2)</vt:lpstr>
      <vt:lpstr>Part (3)</vt:lpstr>
      <vt:lpstr>K304</vt:lpstr>
      <vt:lpstr>K327</vt:lpstr>
      <vt:lpstr>K353</vt:lpstr>
      <vt:lpstr>Class list and cell link</vt:lpstr>
      <vt:lpstr>K304St</vt:lpstr>
      <vt:lpstr>K304TA</vt:lpstr>
      <vt:lpstr>K327St</vt:lpstr>
      <vt:lpstr>K327TA</vt:lpstr>
      <vt:lpstr>K353St</vt:lpstr>
      <vt:lpstr>K353TA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Amin-Tehrani, Darius</dc:creator>
  <cp:lastModifiedBy>Amin-Tehrani, Darius</cp:lastModifiedBy>
  <cp:lastPrinted>2026-07-03T22:45:24Z</cp:lastPrinted>
  <dcterms:created xsi:type="dcterms:W3CDTF">2026-07-03T22:02:42Z</dcterms:created>
  <dcterms:modified xsi:type="dcterms:W3CDTF">2026-07-04T01:47:10Z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0x01010043E03CEACB0B724C9384878E64542650</vt:lpwstr>
  </property>
</Properties>
</file>