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riu\Downloads\"/>
    </mc:Choice>
  </mc:AlternateContent>
  <xr:revisionPtr revIDLastSave="0" documentId="13_ncr:1_{BA4F5F55-C7EB-43BB-8092-2B78801D21F0}" xr6:coauthVersionLast="47" xr6:coauthVersionMax="47" xr10:uidLastSave="{00000000-0000-0000-0000-000000000000}"/>
  <bookViews>
    <workbookView xWindow="-120" yWindow="-120" windowWidth="29040" windowHeight="15840" xr2:uid="{5276F5B8-3333-45BA-99F6-365C97A98B9E}"/>
  </bookViews>
  <sheets>
    <sheet name="Front-End" sheetId="1" r:id="rId1"/>
    <sheet name="Cell Links" sheetId="2" r:id="rId2"/>
    <sheet name="Phase 3" sheetId="3" r:id="rId3"/>
    <sheet name="Phase 2" sheetId="4" r:id="rId4"/>
    <sheet name="Phase 1" sheetId="5" r:id="rId5"/>
    <sheet name="Labor units" sheetId="6" r:id="rId6"/>
    <sheet name="Calculations" sheetId="7" r:id="rId7"/>
    <sheet name="Energy Score Impact" sheetId="8" r:id="rId8"/>
    <sheet name="Sheet2" sheetId="9" r:id="rId9"/>
    <sheet name="Ignore" sheetId="11" r:id="rId10"/>
  </sheets>
  <definedNames>
    <definedName name="Butterfly">'Phase 2'!$J$19:$J$23</definedName>
    <definedName name="ConcreteBlock">'Phase 3'!$J$15:$J$17</definedName>
    <definedName name="ConcreteSlab">'Phase 1'!$G$18:$G$21</definedName>
    <definedName name="CrawlSpace">'Phase 1'!$H$18:$H$21</definedName>
    <definedName name="Earthbag">'Phase 3'!$L$15:$L$17</definedName>
    <definedName name="Flat">'Phase 2'!$G$19:$G$23</definedName>
    <definedName name="foundationOptions">_xlfn.ANCHORARRAY('Cell Links'!$J$11)</definedName>
    <definedName name="FullBasement">'Phase 1'!$I$18:$I$21</definedName>
    <definedName name="Gable">'Phase 2'!$H$19:$H$24</definedName>
    <definedName name="Hip">'Phase 2'!$I$19:$I$24</definedName>
    <definedName name="Insulated">'Phase 3'!$K$15</definedName>
    <definedName name="insulationOptions">_xlfn.ANCHORARRAY('Cell Links'!$M$24)</definedName>
    <definedName name="Metal">'Phase 3'!$I$15:$I$17</definedName>
    <definedName name="RammedEarth">'Phase 3'!$M$15:$M$16</definedName>
    <definedName name="roofType">_xlfn.ANCHORARRAY('Cell Links'!$K$17)</definedName>
    <definedName name="Wood">'Phase 3'!$H$15:$H$18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" i="1" l="1"/>
  <c r="E5" i="9" s="1"/>
  <c r="E1" i="7"/>
  <c r="E3" i="11" a="1"/>
  <c r="E3" i="11" s="1"/>
  <c r="F3" i="11" s="1"/>
  <c r="E2" i="11" a="1"/>
  <c r="E2" i="11" s="1"/>
  <c r="F2" i="11" s="1"/>
  <c r="F15" i="2" a="1"/>
  <c r="F15" i="2" s="1"/>
  <c r="F16" i="2" s="1"/>
  <c r="L15" i="1" s="1"/>
  <c r="F14" i="2" a="1"/>
  <c r="F14" i="2" s="1"/>
  <c r="F12" i="2" a="1"/>
  <c r="F12" i="2" s="1"/>
  <c r="F10" i="2" a="1"/>
  <c r="F10" i="2" s="1"/>
  <c r="K7" i="6" s="1"/>
  <c r="F8" i="2" a="1"/>
  <c r="F8" i="2" s="1"/>
  <c r="E19" i="7" s="1"/>
  <c r="F19" i="7" s="1"/>
  <c r="F6" i="2" a="1"/>
  <c r="F6" i="2" s="1"/>
  <c r="F4" i="2" a="1"/>
  <c r="F4" i="2" s="1"/>
  <c r="G4" i="2" s="1"/>
  <c r="I21" i="1"/>
  <c r="I4" i="1"/>
  <c r="K17" i="2" a="1"/>
  <c r="J11" i="2" a="1"/>
  <c r="J7" i="8" l="1"/>
  <c r="E9" i="7"/>
  <c r="K5" i="6"/>
  <c r="E30" i="7"/>
  <c r="J12" i="8"/>
  <c r="K10" i="6"/>
  <c r="L9" i="6"/>
  <c r="H24" i="3"/>
  <c r="H30" i="3"/>
  <c r="K15" i="8"/>
  <c r="H29" i="3"/>
  <c r="H28" i="3"/>
  <c r="H27" i="3"/>
  <c r="H25" i="3"/>
  <c r="H26" i="3"/>
  <c r="F32" i="7"/>
  <c r="E32" i="7"/>
  <c r="K11" i="6"/>
  <c r="J13" i="8"/>
  <c r="F34" i="7"/>
  <c r="E18" i="7"/>
  <c r="F18" i="7" s="1"/>
  <c r="J9" i="8"/>
  <c r="J8" i="8"/>
  <c r="K6" i="6"/>
  <c r="M17" i="2"/>
  <c r="K3" i="6"/>
  <c r="J5" i="8"/>
  <c r="E7" i="7"/>
  <c r="F26" i="7"/>
  <c r="E26" i="7"/>
  <c r="J11" i="2"/>
  <c r="F5" i="2" a="1"/>
  <c r="F5" i="2" s="1"/>
  <c r="J6" i="8" s="1"/>
  <c r="K17" i="2"/>
  <c r="G32" i="7" l="1"/>
  <c r="F13" i="2" a="1"/>
  <c r="F13" i="2" s="1"/>
  <c r="G26" i="7"/>
  <c r="K4" i="6"/>
  <c r="E8" i="7"/>
  <c r="E11" i="7" s="1"/>
  <c r="E12" i="7" s="1"/>
  <c r="G5" i="2"/>
  <c r="M24" i="2" a="1"/>
  <c r="L15" i="8" l="1"/>
  <c r="E28" i="7"/>
  <c r="N9" i="6"/>
  <c r="F28" i="7"/>
  <c r="M24" i="2"/>
  <c r="F11" i="2" s="1" a="1"/>
  <c r="F11" i="2" s="1"/>
  <c r="K8" i="6" s="1"/>
  <c r="G28" i="7" l="1"/>
  <c r="J10" i="8"/>
  <c r="F36" i="7"/>
  <c r="G36" i="7" s="1"/>
  <c r="G30" i="7" l="1"/>
  <c r="M9" i="6"/>
  <c r="K9" i="6" l="1"/>
  <c r="J11" i="8"/>
  <c r="I7" i="7" l="1"/>
  <c r="G34" i="7" l="1"/>
  <c r="F20" i="7" l="1"/>
  <c r="B12" i="1" s="1"/>
  <c r="I9" i="7" l="1"/>
  <c r="E6" i="9" l="1"/>
  <c r="E7" i="9" l="1"/>
  <c r="E18" i="9"/>
  <c r="E8" i="9" l="1"/>
  <c r="E19" i="9"/>
  <c r="E9" i="9" l="1"/>
  <c r="E20" i="9"/>
  <c r="I8" i="7"/>
  <c r="B11" i="1"/>
  <c r="E10" i="9" l="1"/>
  <c r="E21" i="9"/>
  <c r="K13" i="6"/>
  <c r="B21" i="1" s="1"/>
  <c r="C18" i="6" s="1"/>
  <c r="G38" i="7"/>
  <c r="L17" i="8"/>
  <c r="B18" i="1" s="1"/>
  <c r="E43" i="7" l="1"/>
  <c r="B14" i="1" s="1"/>
  <c r="B13" i="1"/>
  <c r="E22" i="9"/>
  <c r="E11" i="9"/>
  <c r="E44" i="7" l="1"/>
  <c r="E45" i="7" s="1"/>
  <c r="B16" i="1" s="1"/>
  <c r="E23" i="9"/>
  <c r="E12" i="9"/>
  <c r="B15" i="1" l="1"/>
  <c r="E13" i="9"/>
  <c r="E24" i="9"/>
  <c r="E25" i="9" l="1"/>
  <c r="E14" i="9"/>
  <c r="E26" i="9" l="1"/>
  <c r="E15" i="9"/>
  <c r="E27" i="9" l="1"/>
  <c r="E16" i="9"/>
  <c r="E17" i="9" l="1"/>
  <c r="E29" i="9" s="1"/>
  <c r="F5" i="6" s="1" a="1"/>
  <c r="F5" i="6" s="1"/>
  <c r="E28" i="9"/>
  <c r="H5" i="9" l="1" a="1"/>
  <c r="H5" i="9" l="1"/>
  <c r="F3" i="2" s="1" a="1"/>
  <c r="F3" i="2" s="1"/>
  <c r="B22" i="1" s="1"/>
  <c r="C17" i="6" l="1" a="1"/>
  <c r="C17" i="6" s="1"/>
  <c r="D20" i="6" l="1"/>
  <c r="E20" i="6" s="1"/>
  <c r="B23" i="6" s="1"/>
  <c r="C20" i="6"/>
  <c r="D21" i="6"/>
  <c r="E21" i="6" s="1"/>
  <c r="B24" i="6" l="1"/>
  <c r="D22" i="6"/>
  <c r="E22" i="6" s="1"/>
  <c r="B25" i="6" l="1"/>
  <c r="D23" i="6"/>
  <c r="D24" i="6" s="1"/>
  <c r="E23" i="6" l="1"/>
  <c r="B26" i="6" s="1"/>
  <c r="D25" i="6"/>
  <c r="E24" i="6"/>
  <c r="B27" i="6" l="1"/>
  <c r="E25" i="6"/>
  <c r="D26" i="6"/>
  <c r="B28" i="6" l="1"/>
  <c r="E26" i="6"/>
  <c r="D27" i="6"/>
  <c r="B29" i="6" l="1"/>
  <c r="D28" i="6"/>
  <c r="E27" i="6"/>
  <c r="B30" i="6" l="1"/>
  <c r="D29" i="6"/>
  <c r="E28" i="6"/>
  <c r="B31" i="6" l="1"/>
  <c r="E29" i="6"/>
  <c r="D30" i="6"/>
  <c r="B32" i="6" l="1"/>
  <c r="D31" i="6"/>
  <c r="E30" i="6"/>
  <c r="B33" i="6" l="1"/>
  <c r="D32" i="6"/>
  <c r="E31" i="6"/>
  <c r="B34" i="6" l="1"/>
  <c r="D33" i="6"/>
  <c r="E32" i="6"/>
  <c r="B35" i="6" l="1"/>
  <c r="D34" i="6"/>
  <c r="E33" i="6"/>
  <c r="B36" i="6" l="1"/>
  <c r="D35" i="6"/>
  <c r="E34" i="6"/>
  <c r="B37" i="6" l="1"/>
  <c r="D36" i="6"/>
  <c r="E35" i="6"/>
  <c r="B38" i="6" l="1"/>
  <c r="D37" i="6"/>
  <c r="E36" i="6"/>
  <c r="B39" i="6" l="1"/>
  <c r="D38" i="6"/>
  <c r="E37" i="6"/>
  <c r="B40" i="6" l="1"/>
  <c r="D39" i="6"/>
  <c r="E38" i="6"/>
  <c r="B41" i="6" l="1"/>
  <c r="E39" i="6"/>
  <c r="D40" i="6"/>
  <c r="B42" i="6" l="1"/>
  <c r="D41" i="6"/>
  <c r="E40" i="6"/>
  <c r="B43" i="6" s="1"/>
  <c r="D42" i="6" l="1"/>
  <c r="E41" i="6"/>
  <c r="B44" i="6" s="1"/>
  <c r="D43" i="6" l="1"/>
  <c r="E42" i="6"/>
  <c r="B45" i="6" s="1"/>
  <c r="D44" i="6" l="1"/>
  <c r="E43" i="6"/>
  <c r="B46" i="6" s="1"/>
  <c r="E44" i="6" l="1"/>
  <c r="B47" i="6" s="1"/>
  <c r="D45" i="6"/>
  <c r="E45" i="6" l="1"/>
  <c r="B48" i="6" s="1"/>
  <c r="D46" i="6"/>
  <c r="D47" i="6" l="1"/>
  <c r="E46" i="6"/>
  <c r="B49" i="6" s="1"/>
  <c r="D48" i="6" l="1"/>
  <c r="E47" i="6"/>
  <c r="B50" i="6" s="1"/>
  <c r="D49" i="6" l="1"/>
  <c r="E48" i="6"/>
  <c r="B51" i="6" s="1"/>
  <c r="D50" i="6" l="1"/>
  <c r="E49" i="6"/>
  <c r="B52" i="6" s="1"/>
  <c r="E50" i="6" l="1"/>
  <c r="B53" i="6" s="1"/>
  <c r="D51" i="6"/>
  <c r="D52" i="6" l="1"/>
  <c r="E51" i="6"/>
  <c r="B54" i="6" s="1"/>
  <c r="D53" i="6" l="1"/>
  <c r="E52" i="6"/>
  <c r="B55" i="6" s="1"/>
  <c r="D54" i="6" l="1"/>
  <c r="E53" i="6"/>
  <c r="B56" i="6" s="1"/>
  <c r="D55" i="6" l="1"/>
  <c r="E54" i="6"/>
  <c r="B57" i="6" s="1"/>
  <c r="D56" i="6" l="1"/>
  <c r="E55" i="6"/>
  <c r="B58" i="6" s="1"/>
  <c r="D57" i="6" l="1"/>
  <c r="E56" i="6"/>
  <c r="B59" i="6" s="1"/>
  <c r="E57" i="6" l="1"/>
  <c r="B60" i="6" s="1"/>
  <c r="A31" i="6" s="1"/>
  <c r="D58" i="6"/>
  <c r="E58" i="6" l="1"/>
  <c r="B61" i="6" s="1"/>
  <c r="D59" i="6"/>
  <c r="D60" i="6" l="1"/>
  <c r="E59" i="6"/>
  <c r="B62" i="6" s="1"/>
  <c r="E60" i="6" l="1"/>
  <c r="B63" i="6" s="1"/>
  <c r="D61" i="6"/>
  <c r="D62" i="6" l="1"/>
  <c r="E61" i="6"/>
  <c r="B64" i="6" s="1"/>
  <c r="D63" i="6" l="1"/>
  <c r="E62" i="6"/>
  <c r="B65" i="6" s="1"/>
  <c r="D64" i="6" l="1"/>
  <c r="E63" i="6"/>
  <c r="B66" i="6" s="1"/>
  <c r="D65" i="6" l="1"/>
  <c r="E64" i="6"/>
  <c r="B67" i="6" s="1"/>
  <c r="D66" i="6" l="1"/>
  <c r="E65" i="6"/>
  <c r="B68" i="6" s="1"/>
  <c r="D67" i="6" l="1"/>
  <c r="E66" i="6"/>
  <c r="B69" i="6" s="1"/>
  <c r="D68" i="6" l="1"/>
  <c r="E67" i="6"/>
  <c r="B70" i="6" s="1"/>
  <c r="D69" i="6" l="1"/>
  <c r="E68" i="6"/>
  <c r="B71" i="6" s="1"/>
  <c r="D70" i="6" l="1"/>
  <c r="E69" i="6"/>
  <c r="B72" i="6" s="1"/>
  <c r="D71" i="6" l="1"/>
  <c r="E71" i="6" s="1"/>
  <c r="E70" i="6"/>
  <c r="B73" i="6" s="1"/>
  <c r="C22" i="6" s="1"/>
  <c r="C26" i="6" s="1"/>
  <c r="B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Sherry, Sarah Fairchild</author>
  </authors>
  <commentList>
    <comment ref="B1" authorId="0" shapeId="0" xr:uid="{088AB862-22C0-4FB1-8ABA-6A094CE0D5DB}">
      <text>
        <r>
          <rPr>
            <sz val="9"/>
            <color indexed="81"/>
            <rFont val="Tahoma"/>
            <family val="2"/>
          </rPr>
          <t xml:space="preserve">This cell must be </t>
        </r>
        <r>
          <rPr>
            <b/>
            <sz val="9"/>
            <color indexed="81"/>
            <rFont val="Tahoma"/>
            <family val="2"/>
          </rPr>
          <t>the *only source* of current date information</t>
        </r>
        <r>
          <rPr>
            <sz val="9"/>
            <color indexed="81"/>
            <rFont val="Tahoma"/>
            <family val="2"/>
          </rPr>
          <t xml:space="preserve"> in your work. Refer to this cell whenever you need the current date for something.
There should be </t>
        </r>
        <r>
          <rPr>
            <b/>
            <sz val="9"/>
            <color indexed="81"/>
            <rFont val="Tahoma"/>
            <family val="2"/>
          </rPr>
          <t>no other TODAY (or NOW) functions anywhere in your system</t>
        </r>
        <r>
          <rPr>
            <sz val="9"/>
            <color indexed="81"/>
            <rFont val="Tahoma"/>
            <family val="2"/>
          </rPr>
          <t>.
Feel free to test your timeline estimate work (see Appendix B) by deleting the TODAY function and entering different dates here. (This is how we will test your timeline work.)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<sst xmlns="http://schemas.openxmlformats.org/spreadsheetml/2006/main" count="508" uniqueCount="248">
  <si>
    <t>Phase 1:</t>
  </si>
  <si>
    <t>Phase 3:</t>
  </si>
  <si>
    <t>Total Square Ft:</t>
  </si>
  <si>
    <t>Insulation Type</t>
  </si>
  <si>
    <t>Is Partner?</t>
  </si>
  <si>
    <t>Heating Type 1</t>
  </si>
  <si>
    <t>Foundation Options</t>
  </si>
  <si>
    <t>Heating Type 2</t>
  </si>
  <si>
    <t>Cost summary</t>
  </si>
  <si>
    <t>Framing Options</t>
  </si>
  <si>
    <t>Water Options</t>
  </si>
  <si>
    <t>(1) Phase 1</t>
  </si>
  <si>
    <t>(2) Phase 2</t>
  </si>
  <si>
    <t>Roof design options</t>
  </si>
  <si>
    <t>Electricity</t>
  </si>
  <si>
    <t>(3) Phase 3</t>
  </si>
  <si>
    <t>(4) Grand total before discounts</t>
  </si>
  <si>
    <t>If solar, how many additional panels?</t>
  </si>
  <si>
    <r>
      <t xml:space="preserve">(5) Discount amount </t>
    </r>
    <r>
      <rPr>
        <b/>
        <sz val="11"/>
        <color theme="1"/>
        <rFont val="Aptos Narrow"/>
        <family val="2"/>
        <scheme val="minor"/>
      </rPr>
      <t>in dollars</t>
    </r>
  </si>
  <si>
    <t>Phase 2:</t>
  </si>
  <si>
    <t>(6) Grand total after discounts</t>
  </si>
  <si>
    <t>Roofing Material</t>
  </si>
  <si>
    <t>Overall energy efficiency score</t>
  </si>
  <si>
    <t>Type of Window:</t>
  </si>
  <si>
    <t>Groundbreaking Date</t>
  </si>
  <si>
    <t>Timeline summary</t>
  </si>
  <si>
    <t>(1) Total labor units required</t>
  </si>
  <si>
    <t>Amount of Windows:</t>
  </si>
  <si>
    <t>(2) Groundbreaking date</t>
  </si>
  <si>
    <t xml:space="preserve"> </t>
  </si>
  <si>
    <t>(3) Estimated completion date</t>
  </si>
  <si>
    <t>Description</t>
  </si>
  <si>
    <t>Object (combo box, check box, etc.)</t>
  </si>
  <si>
    <t>Cell link</t>
  </si>
  <si>
    <t>Cell link value for design A</t>
  </si>
  <si>
    <t>Cell link value for design B</t>
  </si>
  <si>
    <t>Index:</t>
  </si>
  <si>
    <t>namedRange</t>
  </si>
  <si>
    <t>Apply discount?</t>
  </si>
  <si>
    <t>Check box</t>
  </si>
  <si>
    <t>Groundbreaking date</t>
  </si>
  <si>
    <t>Combo box</t>
  </si>
  <si>
    <t>Foundations:</t>
  </si>
  <si>
    <t>Named Ranges:</t>
  </si>
  <si>
    <t>Concrete slab</t>
  </si>
  <si>
    <t>ConcreteSlab</t>
  </si>
  <si>
    <t>Roof Design Options</t>
  </si>
  <si>
    <t>Crawl space</t>
  </si>
  <si>
    <t>CrawlSpace</t>
  </si>
  <si>
    <t>Total Sq Ft of House</t>
  </si>
  <si>
    <t>Spin Button</t>
  </si>
  <si>
    <t>Full basement</t>
  </si>
  <si>
    <t>FullBasement</t>
  </si>
  <si>
    <t>Number of Windows</t>
  </si>
  <si>
    <t>Type of Window</t>
  </si>
  <si>
    <t>Foundation Options:</t>
  </si>
  <si>
    <t>Electricity Options</t>
  </si>
  <si>
    <t>Number of Solar Panels</t>
  </si>
  <si>
    <t>Roof Type:</t>
  </si>
  <si>
    <t>Rooftype Options:</t>
  </si>
  <si>
    <t>1.5 Pricing?</t>
  </si>
  <si>
    <t>Flat</t>
  </si>
  <si>
    <t>Gable</t>
  </si>
  <si>
    <t>Hip</t>
  </si>
  <si>
    <t>Butterfly</t>
  </si>
  <si>
    <t>Framing:</t>
  </si>
  <si>
    <t>Insulation Options:</t>
  </si>
  <si>
    <t>Wood</t>
  </si>
  <si>
    <t>Earthbag</t>
  </si>
  <si>
    <t>Metal</t>
  </si>
  <si>
    <t>Concrete block</t>
  </si>
  <si>
    <t>ConcreteBlock</t>
  </si>
  <si>
    <t>Rammed earth</t>
  </si>
  <si>
    <t>Rammed</t>
  </si>
  <si>
    <t>Insulated concrete forms</t>
  </si>
  <si>
    <t>Insulated</t>
  </si>
  <si>
    <t>Insulation options</t>
  </si>
  <si>
    <t>Variable cost (per sqft)</t>
  </si>
  <si>
    <t>Labor units required (fixed; NOT per sqft)</t>
  </si>
  <si>
    <t>Energy score</t>
  </si>
  <si>
    <t>Framing</t>
  </si>
  <si>
    <t>Fiberglass rolls</t>
  </si>
  <si>
    <t>Insulation</t>
  </si>
  <si>
    <t>Blown-in cellulose</t>
  </si>
  <si>
    <t>*</t>
  </si>
  <si>
    <t>Straw bale</t>
  </si>
  <si>
    <t>Closed-cell spray foam</t>
  </si>
  <si>
    <t>Wool</t>
  </si>
  <si>
    <t>Cork</t>
  </si>
  <si>
    <t>Integrated</t>
  </si>
  <si>
    <t>Heating options: Fixed and per-sqft variable costs apply</t>
  </si>
  <si>
    <t>Fixed cost</t>
  </si>
  <si>
    <t>Electric furnace</t>
  </si>
  <si>
    <t>Wood-burning stove</t>
  </si>
  <si>
    <t>Natural gas furnace</t>
  </si>
  <si>
    <t>Pellet stove</t>
  </si>
  <si>
    <t>Ductless mini-split</t>
  </si>
  <si>
    <t>Electric radiant floor heating</t>
  </si>
  <si>
    <t>Geothermal</t>
  </si>
  <si>
    <t>Water options: Fixed cost applies; no variable cost</t>
  </si>
  <si>
    <t>City water</t>
  </si>
  <si>
    <t>N/A</t>
  </si>
  <si>
    <t>Cistern</t>
  </si>
  <si>
    <t>Rainwater harvesting</t>
  </si>
  <si>
    <t>Private well</t>
  </si>
  <si>
    <t>Electricity options: Fixed and per-sqft variable costs apply</t>
  </si>
  <si>
    <t>City grid</t>
  </si>
  <si>
    <t>Solar</t>
  </si>
  <si>
    <t>Wind</t>
  </si>
  <si>
    <t>Phase 2: "Dry in"</t>
  </si>
  <si>
    <t>Felicitous roof design and material pairings</t>
  </si>
  <si>
    <t>Roofing material options</t>
  </si>
  <si>
    <t>Cost per sqft</t>
  </si>
  <si>
    <t>Design</t>
  </si>
  <si>
    <t>Asphalt shingles</t>
  </si>
  <si>
    <t>Material</t>
  </si>
  <si>
    <t>Built-up roofing</t>
  </si>
  <si>
    <t>EPDM membrane</t>
  </si>
  <si>
    <t>Modified bitumen</t>
  </si>
  <si>
    <t>Composite shingles</t>
  </si>
  <si>
    <t>TPO/PVC membrane</t>
  </si>
  <si>
    <t>Wood shingles/shakes</t>
  </si>
  <si>
    <t>Clay/concrete tiles</t>
  </si>
  <si>
    <t>Green (vegetative)</t>
  </si>
  <si>
    <t>Slate</t>
  </si>
  <si>
    <t>Window options</t>
  </si>
  <si>
    <t>Cost per window</t>
  </si>
  <si>
    <t>Labor units required (per window; NOT fixed)</t>
  </si>
  <si>
    <t>Single-pane</t>
  </si>
  <si>
    <t>Double-pane</t>
  </si>
  <si>
    <t>Low-E coated double-pane</t>
  </si>
  <si>
    <t>Gas-filled (argon) double-pane</t>
  </si>
  <si>
    <t>Gas-filled (krypton) triple-pane</t>
  </si>
  <si>
    <t>Phase 1: Basic structure</t>
  </si>
  <si>
    <t>Foundation options</t>
  </si>
  <si>
    <t>Felicitous foundation and framing pairings</t>
  </si>
  <si>
    <t>Foundation</t>
  </si>
  <si>
    <t>Framing options</t>
  </si>
  <si>
    <t>Month</t>
  </si>
  <si>
    <t>Labor units accrued per seven-day period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</si>
  <si>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</si>
  <si>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</si>
  <si>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</si>
  <si>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</si>
  <si>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</si>
  <si>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</si>
  <si>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</si>
  <si>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</si>
  <si>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Heating options</t>
  </si>
  <si>
    <t>September</t>
  </si>
  <si>
    <t>Water options</t>
  </si>
  <si>
    <t>October</t>
  </si>
  <si>
    <t>Electricity options</t>
  </si>
  <si>
    <t>November</t>
  </si>
  <si>
    <t>December</t>
  </si>
  <si>
    <t>Total:</t>
  </si>
  <si>
    <t>Groundbreaking Date:</t>
  </si>
  <si>
    <t>7-day period:</t>
  </si>
  <si>
    <t>Labor Units requried:</t>
  </si>
  <si>
    <t>Labor Units:</t>
  </si>
  <si>
    <t>Where the groundbreaking date is:</t>
  </si>
  <si>
    <t>New list:</t>
  </si>
  <si>
    <t>Amount of Days It Took:</t>
  </si>
  <si>
    <t>Cummaltive Labors:</t>
  </si>
  <si>
    <t>Estimated Completion Date:</t>
  </si>
  <si>
    <t>Corrective Value:</t>
  </si>
  <si>
    <t>Front End Calculations:</t>
  </si>
  <si>
    <t>Discount?</t>
  </si>
  <si>
    <t>Discount Percentage</t>
  </si>
  <si>
    <t>Costs:</t>
  </si>
  <si>
    <t>Discounted Costs (only if true):</t>
  </si>
  <si>
    <t>Foundation:</t>
  </si>
  <si>
    <t>Roof design</t>
  </si>
  <si>
    <t>Price Multiplyer:</t>
  </si>
  <si>
    <t>Total Cost sqft:</t>
  </si>
  <si>
    <t>Total Cost:</t>
  </si>
  <si>
    <t>Per window:</t>
  </si>
  <si>
    <t>Windows:</t>
  </si>
  <si>
    <t>Roofing Material:</t>
  </si>
  <si>
    <t>Total Costs:</t>
  </si>
  <si>
    <t>Fixed Cost:</t>
  </si>
  <si>
    <t>Ftsq:</t>
  </si>
  <si>
    <t>Heating 1:</t>
  </si>
  <si>
    <t>Heating 2:</t>
  </si>
  <si>
    <t>Water:</t>
  </si>
  <si>
    <t>Electricity:</t>
  </si>
  <si>
    <t>Solar Panels:</t>
  </si>
  <si>
    <t>Insulation:</t>
  </si>
  <si>
    <t>Grand Total</t>
  </si>
  <si>
    <t>Discount Amount:</t>
  </si>
  <si>
    <t>Total after discount:</t>
  </si>
  <si>
    <t>Category</t>
  </si>
  <si>
    <t>Energy score impact</t>
  </si>
  <si>
    <t>Energy Scores</t>
  </si>
  <si>
    <t>Energy Score Impact</t>
  </si>
  <si>
    <t>Roofing material</t>
  </si>
  <si>
    <t>Windows</t>
  </si>
  <si>
    <t>Roof Design</t>
  </si>
  <si>
    <t>Heating</t>
  </si>
  <si>
    <t>Water</t>
  </si>
  <si>
    <t>sumproduct=</t>
  </si>
  <si>
    <t>Sorted List:</t>
  </si>
  <si>
    <t>1st day of month for year</t>
  </si>
  <si>
    <t>Current Day:</t>
  </si>
  <si>
    <t>15th of each month</t>
  </si>
  <si>
    <t>Other</t>
  </si>
  <si>
    <t>Consult date/time:</t>
  </si>
  <si>
    <t>Cell links sheet, cell C2</t>
  </si>
  <si>
    <t>Cell links sheet, cell C3</t>
  </si>
  <si>
    <t>Cell links sheet, cell C4</t>
  </si>
  <si>
    <t>Cell links sheet, cell C5</t>
  </si>
  <si>
    <t>Cell links sheet, cell C6</t>
  </si>
  <si>
    <t>Cell links sheet, cell C7</t>
  </si>
  <si>
    <t>Cell links sheet, cell C8</t>
  </si>
  <si>
    <t>Cell links sheet, cell C9</t>
  </si>
  <si>
    <t>Cell links sheet, cell C10</t>
  </si>
  <si>
    <t>Cell links sheet, cell C11</t>
  </si>
  <si>
    <t>Cell links sheet, cell C12</t>
  </si>
  <si>
    <t>Cell links sheet, cell C13</t>
  </si>
  <si>
    <t>Cell links sheet, cell C14</t>
  </si>
  <si>
    <t>Cell links sheet, cell C15</t>
  </si>
  <si>
    <t>Cell links sheet, cell C16</t>
  </si>
  <si>
    <t>Cell links sheet, cell C17</t>
  </si>
  <si>
    <t>Cell links sheet, cell C18</t>
  </si>
  <si>
    <t>Cell links sheet, cell C19</t>
  </si>
  <si>
    <t>Cell links sheet, cell C20</t>
  </si>
  <si>
    <t>Cell links sheet, cell C21</t>
  </si>
  <si>
    <t>Cell links sheet, cell C22</t>
  </si>
  <si>
    <t>Cell links sheet, cell C23</t>
  </si>
  <si>
    <t>Cell links sheet, cell C24</t>
  </si>
  <si>
    <t>Cell links sheet, cell C25</t>
  </si>
  <si>
    <t>Cell links sheet, cell C26</t>
  </si>
  <si>
    <t>Cell links sheet, cell C27</t>
  </si>
  <si>
    <t>Cell links sheet, cell C28</t>
  </si>
  <si>
    <t>Cell links sheet, cell C29</t>
  </si>
  <si>
    <t>Cell links sheet, cell C30</t>
  </si>
  <si>
    <t>Cell links sheet, cell C31</t>
  </si>
  <si>
    <t>Cell links sheet, cell C32</t>
  </si>
  <si>
    <t>Cell links sheet, cell C33</t>
  </si>
  <si>
    <t>Cell links sheet, cell C34</t>
  </si>
  <si>
    <t>Cell links sheet, cell C35</t>
  </si>
  <si>
    <t>Cell links sheet, cell C36</t>
  </si>
  <si>
    <t>Cell links sheet, cell C37</t>
  </si>
  <si>
    <t>Cell links sheet, cell C38</t>
  </si>
  <si>
    <t>Cell links sheet, cell C39</t>
  </si>
  <si>
    <t>Cell links sheet, cell C40</t>
  </si>
  <si>
    <t>Phase 3: Mechanical and insulation</t>
  </si>
  <si>
    <t>Felicitous framing and insulation pairings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</si>
</sst>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F8C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3" fillId="0" borderId="0" xfId="0" applyFont="1" applyProtection="1">
      <protection locked="0"/>
    </xf>
    <xf numFmtId="44" fontId="0" fillId="3" borderId="1" xfId="1" applyFont="1" applyFill="1" applyBorder="1" applyProtection="1">
      <protection locked="0"/>
    </xf>
    <xf numFmtId="0" fontId="2" fillId="0" borderId="0" xfId="0" applyFont="1"/>
    <xf numFmtId="0" fontId="0" fillId="3" borderId="1" xfId="1" applyNumberFormat="1" applyFont="1" applyFill="1" applyBorder="1" applyProtection="1">
      <protection locked="0"/>
    </xf>
    <xf numFmtId="14" fontId="0" fillId="3" borderId="1" xfId="1" applyNumberFormat="1" applyFont="1" applyFill="1" applyBorder="1" applyProtection="1">
      <protection locked="0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/>
    <xf numFmtId="0" fontId="0" fillId="5" borderId="0" xfId="0" applyFill="1"/>
    <xf numFmtId="14" fontId="0" fillId="0" borderId="0" xfId="0" applyNumberFormat="1"/>
    <xf numFmtId="0" fontId="4" fillId="0" borderId="0" xfId="0" applyFont="1"/>
    <xf numFmtId="44" fontId="0" fillId="0" borderId="0" xfId="1" applyFont="1"/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4" borderId="6" xfId="0" applyFill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0" fillId="4" borderId="0" xfId="0" applyFill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4" borderId="2" xfId="0" applyFill="1" applyBorder="1" applyAlignment="1">
      <alignment horizontal="center" vertical="center"/>
    </xf>
    <xf numFmtId="0" fontId="0" fillId="0" borderId="9" xfId="0" applyBorder="1"/>
    <xf numFmtId="164" fontId="0" fillId="0" borderId="0" xfId="1" applyNumberFormat="1" applyFont="1"/>
    <xf numFmtId="0" fontId="5" fillId="0" borderId="0" xfId="0" applyFont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/>
    <xf numFmtId="0" fontId="0" fillId="4" borderId="5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7" fillId="0" borderId="0" xfId="0" applyFont="1"/>
    <xf numFmtId="0" fontId="0" fillId="3" borderId="0" xfId="0" applyFill="1"/>
    <xf numFmtId="0" fontId="0" fillId="6" borderId="0" xfId="0" applyFill="1"/>
    <xf numFmtId="14" fontId="0" fillId="6" borderId="0" xfId="0" applyNumberFormat="1" applyFill="1"/>
    <xf numFmtId="44" fontId="0" fillId="0" borderId="0" xfId="0" applyNumberFormat="1"/>
    <xf numFmtId="44" fontId="0" fillId="6" borderId="0" xfId="1" applyFont="1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7" borderId="0" xfId="0" applyFill="1"/>
    <xf numFmtId="0" fontId="7" fillId="6" borderId="0" xfId="0" applyFont="1" applyFill="1"/>
    <xf numFmtId="14" fontId="0" fillId="5" borderId="0" xfId="0" applyNumberFormat="1" applyFill="1"/>
    <xf numFmtId="14" fontId="0" fillId="8" borderId="0" xfId="0" applyNumberFormat="1" applyFill="1" applyProtection="1">
      <protection locked="0"/>
    </xf>
    <xf numFmtId="1" fontId="0" fillId="3" borderId="1" xfId="1" applyNumberFormat="1" applyFont="1" applyFill="1" applyBorder="1" applyProtection="1">
      <protection locked="0"/>
    </xf>
    <xf numFmtId="0" fontId="10" fillId="0" borderId="0" xfId="0" applyFont="1"/>
    <xf numFmtId="0" fontId="0" fillId="9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EFF8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Lines="15" dropStyle="combo" dx="22" fmlaLink="Ignore!$D$2" fmlaRange="Ignore!$A$2:$A$40" noThreeD="1" sel="9" val="0"/>
</file>

<file path=xl/ctrlProps/ctrlProp2.xml><?xml version="1.0" encoding="utf-8"?>
<formControlPr xmlns="http://schemas.microsoft.com/office/spreadsheetml/2009/9/main" objectType="Drop" dropLines="15" dropStyle="combo" dx="22" fmlaLink="Ignore!$D$3" fmlaRange="Ignore!$A$2:$A$40" noThreeD="1" sel="0" val="0"/>
</file>

<file path=xl/ctrlProps/ctrlProp3.xml><?xml version="1.0" encoding="utf-8"?>
<formControlPr xmlns="http://schemas.microsoft.com/office/spreadsheetml/2009/9/main" objectType="Drop" dropStyle="combo" dx="22" fmlaLink="'Cell Links'!$C$4" fmlaRange="'Phase 1'!$A$4:$A$6" noThreeD="1" sel="2" val="0"/>
</file>

<file path=xl/ctrlProps/ctrlProp4.xml><?xml version="1.0" encoding="utf-8"?>
<formControlPr xmlns="http://schemas.microsoft.com/office/spreadsheetml/2009/9/main" objectType="Drop" dropStyle="combo" dx="22" fmlaLink="'Cell Links'!$C$5" fmlaRange="foundationOptions" noThreeD="1" sel="3" val="0"/>
</file>

<file path=xl/ctrlProps/ctrlProp5.xml><?xml version="1.0" encoding="utf-8"?>
<formControlPr xmlns="http://schemas.microsoft.com/office/spreadsheetml/2009/9/main" objectType="Drop" dropStyle="combo" dx="22" fmlaLink="'Cell Links'!$C$6" fmlaRange="'Phase 1'!$A$17:$A$20" noThreeD="1" sel="2" val="0"/>
</file>

<file path=xl/ctrlProps/ctrlProp6.xml><?xml version="1.0" encoding="utf-8"?>
<formControlPr xmlns="http://schemas.microsoft.com/office/spreadsheetml/2009/9/main" objectType="Spin" dx="22" fmlaLink="'Cell Links'!$C$7" inc="100" max="1500" min="900" page="10" val="1300"/>
</file>

<file path=xl/ctrlProps/ctrlProp7.xml><?xml version="1.0" encoding="utf-8"?>
<formControlPr xmlns="http://schemas.microsoft.com/office/spreadsheetml/2009/9/main" objectType="CheckBox" checked="Checked" fmlaLink="'Cell Links'!$C$2" lockText="1" noThreeD="1"/>
</file>

<file path=xl/ctrlProps/ctrlProp8.xml><?xml version="1.0" encoding="utf-8"?>
<formControlPr xmlns="http://schemas.microsoft.com/office/spreadsheetml/2009/9/main" objectType="Drop" dropStyle="combo" dx="26" fmlaLink="'Cell Links'!$C$8" fmlaRange="roofType" noThreeD="1" sel="5" val="0"/>
</file>

<file path=xl/ctrlProps/ctrlProp9.xml><?xml version="1.0" encoding="utf-8"?>
<formControlPr xmlns="http://schemas.microsoft.com/office/spreadsheetml/2009/9/main" objectType="Spin" dx="26" fmlaLink="'Cell Links'!$C$9" max="15" min="10" page="10" val="12"/>
</file>

<file path=xl/ctrlProps/ctrlProp10.xml><?xml version="1.0" encoding="utf-8"?>
<formControlPr xmlns="http://schemas.microsoft.com/office/spreadsheetml/2009/9/main" objectType="Drop" dropStyle="combo" dx="26" fmlaLink="'Cell Links'!$C$10" fmlaRange="'Phase 2'!$A$18:$A$22" noThreeD="1" sel="2" val="0"/>
</file>

<file path=xl/ctrlProps/ctrlProp11.xml><?xml version="1.0" encoding="utf-8"?>
<formControlPr xmlns="http://schemas.microsoft.com/office/spreadsheetml/2009/9/main" objectType="Drop" dropStyle="combo" dx="26" fmlaLink="'Cell Links'!$C$11" fmlaRange="insulationOptions" noThreeD="1" sel="2" val="0"/>
</file>

<file path=xl/ctrlProps/ctrlProp12.xml><?xml version="1.0" encoding="utf-8"?>
<formControlPr xmlns="http://schemas.microsoft.com/office/spreadsheetml/2009/9/main" objectType="Drop" dropStyle="combo" dx="26" fmlaLink="'Cell Links'!$C$12" fmlaRange="'Phase 3'!$A$15:$A$21" noThreeD="1" sel="2" val="0"/>
</file>

<file path=xl/ctrlProps/ctrlProp13.xml><?xml version="1.0" encoding="utf-8"?>
<formControlPr xmlns="http://schemas.microsoft.com/office/spreadsheetml/2009/9/main" objectType="Drop" dropStyle="combo" dx="26" fmlaLink="'Cell Links'!$C$13" fmlaRange="'Phase 3'!$H$24:$H$30" noThreeD="1" sel="3" val="0"/>
</file>

<file path=xl/ctrlProps/ctrlProp14.xml><?xml version="1.0" encoding="utf-8"?>
<formControlPr xmlns="http://schemas.microsoft.com/office/spreadsheetml/2009/9/main" objectType="Drop" dropStyle="combo" dx="26" fmlaLink="'Cell Links'!$C$14" fmlaRange="'Phase 3'!$A$25:$A$28" noThreeD="1" sel="2" val="0"/>
</file>

<file path=xl/ctrlProps/ctrlProp15.xml><?xml version="1.0" encoding="utf-8"?>
<formControlPr xmlns="http://schemas.microsoft.com/office/spreadsheetml/2009/9/main" objectType="Drop" dropStyle="combo" dx="26" fmlaLink="'Cell Links'!$C$15" fmlaRange="'Phase 3'!$A$32:$A$34" noThreeD="1" sel="2" val="0"/>
</file>

<file path=xl/ctrlProps/ctrlProp16.xml><?xml version="1.0" encoding="utf-8"?>
<formControlPr xmlns="http://schemas.microsoft.com/office/spreadsheetml/2009/9/main" objectType="Spin" dx="26" fmlaLink="'Cell Links'!$C$16" max="5" page="10" val="4"/>
</file>

<file path=xl/ctrlProps/ctrlProp17.xml><?xml version="1.0" encoding="utf-8"?>
<formControlPr xmlns="http://schemas.microsoft.com/office/spreadsheetml/2009/9/main" objectType="Drop" dropStyle="combo" dx="26" fmlaLink="'Cell Links'!$C$3" fmlaRange="Sheet2!$H$5:$H$28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2</xdr:col>
          <xdr:colOff>0</xdr:colOff>
          <xdr:row>25</xdr:row>
          <xdr:rowOff>180975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9525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142875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1061" name="Drop Dow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142875</xdr:rowOff>
        </xdr:from>
        <xdr:to>
          <xdr:col>10</xdr:col>
          <xdr:colOff>390525</xdr:colOff>
          <xdr:row>10</xdr:row>
          <xdr:rowOff>38100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161925</xdr:rowOff>
        </xdr:from>
        <xdr:to>
          <xdr:col>10</xdr:col>
          <xdr:colOff>180975</xdr:colOff>
          <xdr:row>12</xdr:row>
          <xdr:rowOff>38100</xdr:rowOff>
        </xdr:to>
        <xdr:sp macro="" textlink="">
          <xdr:nvSpPr>
            <xdr:cNvPr id="1063" name="Drop Dow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114300</xdr:rowOff>
        </xdr:from>
        <xdr:to>
          <xdr:col>9</xdr:col>
          <xdr:colOff>295275</xdr:colOff>
          <xdr:row>4</xdr:row>
          <xdr:rowOff>104775</xdr:rowOff>
        </xdr:to>
        <xdr:sp macro="" textlink="">
          <xdr:nvSpPr>
            <xdr:cNvPr id="1064" name="Spinner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1247775</xdr:colOff>
          <xdr:row>4</xdr:row>
          <xdr:rowOff>180975</xdr:rowOff>
        </xdr:from>
        <xdr:to>
          <xdr:col>8</xdr:col>
          <xdr:colOff>295275</xdr:colOff>
          <xdr:row>6</xdr:row>
          <xdr:rowOff>28575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1285875</xdr:colOff>
          <xdr:row>15</xdr:row>
          <xdr:rowOff>152400</xdr:rowOff>
        </xdr:from>
        <xdr:to>
          <xdr:col>10</xdr:col>
          <xdr:colOff>123825</xdr:colOff>
          <xdr:row>17</xdr:row>
          <xdr:rowOff>47625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19</xdr:row>
          <xdr:rowOff>104775</xdr:rowOff>
        </xdr:from>
        <xdr:to>
          <xdr:col>9</xdr:col>
          <xdr:colOff>409575</xdr:colOff>
          <xdr:row>21</xdr:row>
          <xdr:rowOff>104775</xdr:rowOff>
        </xdr:to>
        <xdr:sp macro="" textlink="">
          <xdr:nvSpPr>
            <xdr:cNvPr id="1067" name="Spinner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123825</xdr:rowOff>
        </xdr:from>
        <xdr:to>
          <xdr:col>10</xdr:col>
          <xdr:colOff>476250</xdr:colOff>
          <xdr:row>19</xdr:row>
          <xdr:rowOff>19050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152400</xdr:rowOff>
        </xdr:from>
        <xdr:to>
          <xdr:col>14</xdr:col>
          <xdr:colOff>200025</xdr:colOff>
          <xdr:row>4</xdr:row>
          <xdr:rowOff>47625</xdr:rowOff>
        </xdr:to>
        <xdr:sp macro="" textlink="">
          <xdr:nvSpPr>
            <xdr:cNvPr id="1069" name="Drop Dow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</xdr:row>
          <xdr:rowOff>142875</xdr:rowOff>
        </xdr:from>
        <xdr:to>
          <xdr:col>14</xdr:col>
          <xdr:colOff>238125</xdr:colOff>
          <xdr:row>6</xdr:row>
          <xdr:rowOff>66675</xdr:rowOff>
        </xdr:to>
        <xdr:sp macro="" textlink="">
          <xdr:nvSpPr>
            <xdr:cNvPr id="1070" name="Drop Dow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142875</xdr:rowOff>
        </xdr:from>
        <xdr:to>
          <xdr:col>14</xdr:col>
          <xdr:colOff>161925</xdr:colOff>
          <xdr:row>8</xdr:row>
          <xdr:rowOff>47625</xdr:rowOff>
        </xdr:to>
        <xdr:sp macro="" textlink="">
          <xdr:nvSpPr>
            <xdr:cNvPr id="1071" name="Drop Dow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8</xdr:row>
          <xdr:rowOff>180975</xdr:rowOff>
        </xdr:from>
        <xdr:to>
          <xdr:col>14</xdr:col>
          <xdr:colOff>257175</xdr:colOff>
          <xdr:row>10</xdr:row>
          <xdr:rowOff>57150</xdr:rowOff>
        </xdr:to>
        <xdr:sp macro="" textlink="">
          <xdr:nvSpPr>
            <xdr:cNvPr id="1072" name="Drop Dow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10</xdr:row>
          <xdr:rowOff>152400</xdr:rowOff>
        </xdr:from>
        <xdr:to>
          <xdr:col>14</xdr:col>
          <xdr:colOff>295275</xdr:colOff>
          <xdr:row>12</xdr:row>
          <xdr:rowOff>66675</xdr:rowOff>
        </xdr:to>
        <xdr:sp macro="" textlink="">
          <xdr:nvSpPr>
            <xdr:cNvPr id="1073" name="Drop Dow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14</xdr:row>
          <xdr:rowOff>0</xdr:rowOff>
        </xdr:from>
        <xdr:to>
          <xdr:col>12</xdr:col>
          <xdr:colOff>333375</xdr:colOff>
          <xdr:row>15</xdr:row>
          <xdr:rowOff>180975</xdr:rowOff>
        </xdr:to>
        <xdr:sp macro="" textlink="">
          <xdr:nvSpPr>
            <xdr:cNvPr id="1074" name="Spinner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1381125</xdr:colOff>
          <xdr:row>18</xdr:row>
          <xdr:rowOff>9525</xdr:rowOff>
        </xdr:from>
        <xdr:to>
          <xdr:col>13</xdr:col>
          <xdr:colOff>85725</xdr:colOff>
          <xdr:row>19</xdr:row>
          <xdr:rowOff>9525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omments" Target="../comments1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1FE3-A474-45BD-BAB2-518F5917199A}">
  <dimension ref="A1:L26"/>
  <sheetViews>
    <sheetView tabSelected="1" workbookViewId="0">
      <selection activeCell="S25" sqref="S25"/>
    </sheetView>
  </sheetViews>
  <sheetFormatPr defaultColWidth="9.140625" defaultRowHeight="15" x14ac:dyDescent="0.25"/>
  <cols>
    <col min="1" max="1" width="33.85546875" style="2" customWidth="1"/>
    <col min="2" max="2" width="22.85546875" style="2" customWidth="1"/>
    <col min="3" max="5" width="9.140625" style="2"/>
    <col min="6" max="6" width="1.42578125" style="3" customWidth="1"/>
    <col min="7" max="7" width="9.140625" style="2"/>
    <col min="8" max="8" width="18.85546875" style="2" bestFit="1" customWidth="1"/>
    <col min="9" max="11" width="9.140625" style="2"/>
    <col min="12" max="12" width="32.85546875" style="2" bestFit="1" customWidth="1"/>
    <col min="13" max="16384" width="9.140625" style="2"/>
  </cols>
  <sheetData>
    <row r="1" spans="1:12" x14ac:dyDescent="0.25">
      <c r="A1" s="1" t="s">
        <v>206</v>
      </c>
      <c r="B1" s="53">
        <f ca="1">TODAY()</f>
        <v>46206</v>
      </c>
    </row>
    <row r="2" spans="1:12" ht="18.75" x14ac:dyDescent="0.3">
      <c r="H2" s="4" t="s">
        <v>0</v>
      </c>
      <c r="L2" s="4" t="s">
        <v>1</v>
      </c>
    </row>
    <row r="4" spans="1:12" x14ac:dyDescent="0.25">
      <c r="H4" s="1" t="s">
        <v>2</v>
      </c>
      <c r="I4" s="2">
        <f>'Cell Links'!C7</f>
        <v>1300</v>
      </c>
      <c r="L4" s="1" t="s">
        <v>3</v>
      </c>
    </row>
    <row r="6" spans="1:12" x14ac:dyDescent="0.25">
      <c r="H6" s="1" t="s">
        <v>4</v>
      </c>
      <c r="L6" s="1" t="s">
        <v>5</v>
      </c>
    </row>
    <row r="8" spans="1:12" x14ac:dyDescent="0.25">
      <c r="H8" s="1" t="s">
        <v>6</v>
      </c>
      <c r="L8" s="1" t="s">
        <v>7</v>
      </c>
    </row>
    <row r="10" spans="1:12" x14ac:dyDescent="0.25">
      <c r="A10" s="1" t="s">
        <v>8</v>
      </c>
      <c r="H10" s="1" t="s">
        <v>9</v>
      </c>
      <c r="L10" s="1" t="s">
        <v>10</v>
      </c>
    </row>
    <row r="11" spans="1:12" x14ac:dyDescent="0.25">
      <c r="A11" s="2" t="s">
        <v>11</v>
      </c>
      <c r="B11" s="5">
        <f ca="1">Calculations!E12</f>
        <v>41600</v>
      </c>
    </row>
    <row r="12" spans="1:12" x14ac:dyDescent="0.25">
      <c r="A12" s="2" t="s">
        <v>12</v>
      </c>
      <c r="B12" s="5">
        <f>Calculations!F20</f>
        <v>24900</v>
      </c>
      <c r="H12" s="6" t="s">
        <v>13</v>
      </c>
      <c r="L12" s="1" t="s">
        <v>14</v>
      </c>
    </row>
    <row r="13" spans="1:12" x14ac:dyDescent="0.25">
      <c r="A13" s="2" t="s">
        <v>15</v>
      </c>
      <c r="B13" s="5">
        <f ca="1">Calculations!G38</f>
        <v>66525</v>
      </c>
    </row>
    <row r="14" spans="1:12" x14ac:dyDescent="0.25">
      <c r="A14" s="2" t="s">
        <v>16</v>
      </c>
      <c r="B14" s="5">
        <f ca="1">Calculations!E43</f>
        <v>133025</v>
      </c>
      <c r="L14" s="1" t="s">
        <v>17</v>
      </c>
    </row>
    <row r="15" spans="1:12" ht="18.75" x14ac:dyDescent="0.3">
      <c r="A15" s="2" t="s">
        <v>18</v>
      </c>
      <c r="B15" s="5">
        <f ca="1">Calculations!E44</f>
        <v>5321</v>
      </c>
      <c r="H15" s="4" t="s">
        <v>19</v>
      </c>
      <c r="L15" s="2">
        <f>'Cell Links'!F16</f>
        <v>4</v>
      </c>
    </row>
    <row r="16" spans="1:12" x14ac:dyDescent="0.25">
      <c r="A16" s="2" t="s">
        <v>20</v>
      </c>
      <c r="B16" s="5">
        <f ca="1">Calculations!E45</f>
        <v>127704</v>
      </c>
    </row>
    <row r="17" spans="1:12" x14ac:dyDescent="0.25">
      <c r="B17"/>
      <c r="H17" s="1" t="s">
        <v>21</v>
      </c>
    </row>
    <row r="18" spans="1:12" x14ac:dyDescent="0.25">
      <c r="A18" s="1" t="s">
        <v>22</v>
      </c>
      <c r="B18" s="7">
        <f ca="1">'Energy Score Impact'!L17</f>
        <v>64.75</v>
      </c>
    </row>
    <row r="19" spans="1:12" x14ac:dyDescent="0.25">
      <c r="B19"/>
      <c r="H19" s="1" t="s">
        <v>23</v>
      </c>
      <c r="L19" s="1" t="s">
        <v>24</v>
      </c>
    </row>
    <row r="20" spans="1:12" x14ac:dyDescent="0.25">
      <c r="A20" s="1" t="s">
        <v>25</v>
      </c>
    </row>
    <row r="21" spans="1:12" x14ac:dyDescent="0.25">
      <c r="A21" s="2" t="s">
        <v>26</v>
      </c>
      <c r="B21" s="7">
        <f ca="1">'Labor units'!K13</f>
        <v>23.6</v>
      </c>
      <c r="H21" s="1" t="s">
        <v>27</v>
      </c>
      <c r="I21" s="2">
        <f>'Cell Links'!C9</f>
        <v>12</v>
      </c>
    </row>
    <row r="22" spans="1:12" x14ac:dyDescent="0.25">
      <c r="A22" s="2" t="s">
        <v>28</v>
      </c>
      <c r="B22" s="8">
        <f ca="1">'Cell Links'!F3</f>
        <v>46266</v>
      </c>
      <c r="C22" s="2" t="s">
        <v>29</v>
      </c>
    </row>
    <row r="23" spans="1:12" x14ac:dyDescent="0.25">
      <c r="A23" s="2" t="s">
        <v>30</v>
      </c>
      <c r="B23" s="8">
        <f ca="1">'Labor units'!C26</f>
        <v>46497</v>
      </c>
    </row>
    <row r="25" spans="1:12" x14ac:dyDescent="0.25">
      <c r="A25" s="1" t="s">
        <v>205</v>
      </c>
    </row>
    <row r="26" spans="1:12" x14ac:dyDescent="0.25">
      <c r="B26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3" name="Drop Down 35">
              <controlPr defaultSize="0" autoLine="0" autoPict="0">
                <anchor mov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2</xdr:col>
                    <xdr:colOff>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4" name="Drop Down 36">
              <controlPr defaultSize="0" autoLine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" name="Drop Down 37">
              <controlPr defaultSize="0" autoLine="0" autoPict="0">
                <anchor moveWithCells="1">
                  <from>
                    <xdr:col>8</xdr:col>
                    <xdr:colOff>9525</xdr:colOff>
                    <xdr:row>6</xdr:row>
                    <xdr:rowOff>142875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" name="Drop Down 38">
              <controlPr defaultSize="0" autoLine="0" autoPict="0">
                <anchor moveWithCells="1">
                  <from>
                    <xdr:col>8</xdr:col>
                    <xdr:colOff>9525</xdr:colOff>
                    <xdr:row>8</xdr:row>
                    <xdr:rowOff>142875</xdr:rowOff>
                  </from>
                  <to>
                    <xdr:col>10</xdr:col>
                    <xdr:colOff>390525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7" name="Drop Down 39">
              <controlPr defaultSize="0" autoLine="0" autoPict="0">
                <anchor moveWithCells="1">
                  <from>
                    <xdr:col>8</xdr:col>
                    <xdr:colOff>9525</xdr:colOff>
                    <xdr:row>10</xdr:row>
                    <xdr:rowOff>161925</xdr:rowOff>
                  </from>
                  <to>
                    <xdr:col>10</xdr:col>
                    <xdr:colOff>180975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" name="Spinner 40">
              <controlPr defaultSize="0" autoPict="0">
                <anchor moveWithCells="1" sizeWithCells="1">
                  <from>
                    <xdr:col>9</xdr:col>
                    <xdr:colOff>0</xdr:colOff>
                    <xdr:row>2</xdr:row>
                    <xdr:rowOff>114300</xdr:rowOff>
                  </from>
                  <to>
                    <xdr:col>9</xdr:col>
                    <xdr:colOff>295275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Check Box 41">
              <controlPr defaultSize="0" autoFill="0" autoLine="0" autoPict="0">
                <anchor moveWithCells="1">
                  <from>
                    <xdr:col>7</xdr:col>
                    <xdr:colOff>1247775</xdr:colOff>
                    <xdr:row>4</xdr:row>
                    <xdr:rowOff>180975</xdr:rowOff>
                  </from>
                  <to>
                    <xdr:col>8</xdr:col>
                    <xdr:colOff>295275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Drop Down 42">
              <controlPr defaultSize="0" autoLine="0" autoPict="0">
                <anchor moveWithCells="1">
                  <from>
                    <xdr:col>7</xdr:col>
                    <xdr:colOff>1285875</xdr:colOff>
                    <xdr:row>15</xdr:row>
                    <xdr:rowOff>152400</xdr:rowOff>
                  </from>
                  <to>
                    <xdr:col>10</xdr:col>
                    <xdr:colOff>123825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1" name="Spinner 43">
              <controlPr defaultSize="0" autoPict="0">
                <anchor moveWithCells="1" sizeWithCells="1">
                  <from>
                    <xdr:col>9</xdr:col>
                    <xdr:colOff>9525</xdr:colOff>
                    <xdr:row>19</xdr:row>
                    <xdr:rowOff>104775</xdr:rowOff>
                  </from>
                  <to>
                    <xdr:col>9</xdr:col>
                    <xdr:colOff>409575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2" name="Drop Down 44">
              <controlPr defaultSize="0" autoLine="0" autoPict="0">
                <anchor moveWithCells="1">
                  <from>
                    <xdr:col>8</xdr:col>
                    <xdr:colOff>0</xdr:colOff>
                    <xdr:row>17</xdr:row>
                    <xdr:rowOff>123825</xdr:rowOff>
                  </from>
                  <to>
                    <xdr:col>10</xdr:col>
                    <xdr:colOff>476250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3" name="Drop Down 45">
              <controlPr defaultSize="0" autoLine="0" autoPict="0">
                <anchor moveWithCells="1">
                  <from>
                    <xdr:col>12</xdr:col>
                    <xdr:colOff>28575</xdr:colOff>
                    <xdr:row>2</xdr:row>
                    <xdr:rowOff>152400</xdr:rowOff>
                  </from>
                  <to>
                    <xdr:col>14</xdr:col>
                    <xdr:colOff>200025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Drop Down 46">
              <controlPr defaultSize="0" autoLine="0" autoPict="0">
                <anchor moveWithCells="1">
                  <from>
                    <xdr:col>12</xdr:col>
                    <xdr:colOff>9525</xdr:colOff>
                    <xdr:row>4</xdr:row>
                    <xdr:rowOff>142875</xdr:rowOff>
                  </from>
                  <to>
                    <xdr:col>14</xdr:col>
                    <xdr:colOff>238125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5" name="Drop Down 47">
              <controlPr defaultSize="0" autoLine="0" autoPict="0">
                <anchor moveWithCells="1">
                  <from>
                    <xdr:col>12</xdr:col>
                    <xdr:colOff>9525</xdr:colOff>
                    <xdr:row>6</xdr:row>
                    <xdr:rowOff>142875</xdr:rowOff>
                  </from>
                  <to>
                    <xdr:col>14</xdr:col>
                    <xdr:colOff>161925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6" name="Drop Down 48">
              <controlPr defaultSize="0" autoLine="0" autoPict="0">
                <anchor moveWithCells="1">
                  <from>
                    <xdr:col>12</xdr:col>
                    <xdr:colOff>28575</xdr:colOff>
                    <xdr:row>8</xdr:row>
                    <xdr:rowOff>180975</xdr:rowOff>
                  </from>
                  <to>
                    <xdr:col>14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7" name="Drop Down 49">
              <controlPr defaultSize="0" autoLine="0" autoPict="0">
                <anchor moveWithCells="1">
                  <from>
                    <xdr:col>12</xdr:col>
                    <xdr:colOff>28575</xdr:colOff>
                    <xdr:row>10</xdr:row>
                    <xdr:rowOff>152400</xdr:rowOff>
                  </from>
                  <to>
                    <xdr:col>14</xdr:col>
                    <xdr:colOff>295275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8" name="Spinner 50">
              <controlPr defaultSize="0" autoPict="0">
                <anchor moveWithCells="1" sizeWithCells="1">
                  <from>
                    <xdr:col>12</xdr:col>
                    <xdr:colOff>28575</xdr:colOff>
                    <xdr:row>14</xdr:row>
                    <xdr:rowOff>0</xdr:rowOff>
                  </from>
                  <to>
                    <xdr:col>12</xdr:col>
                    <xdr:colOff>333375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9" name="Drop Down 51">
              <controlPr defaultSize="0" autoLine="0" autoPict="0">
                <anchor moveWithCells="1">
                  <from>
                    <xdr:col>11</xdr:col>
                    <xdr:colOff>1381125</xdr:colOff>
                    <xdr:row>18</xdr:row>
                    <xdr:rowOff>9525</xdr:rowOff>
                  </from>
                  <to>
                    <xdr:col>13</xdr:col>
                    <xdr:colOff>85725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6CB83-4D80-4448-BB90-EEF082B6897C}">
  <dimension ref="A1:M40"/>
  <sheetViews>
    <sheetView workbookViewId="0">
      <selection activeCell="C7" sqref="C7"/>
    </sheetView>
  </sheetViews>
  <sheetFormatPr defaultRowHeight="15" x14ac:dyDescent="0.25"/>
  <cols>
    <col min="1" max="1" width="28.42578125" customWidth="1"/>
    <col min="2" max="2" width="33.140625" bestFit="1" customWidth="1"/>
    <col min="3" max="3" width="16.5703125" customWidth="1"/>
    <col min="4" max="5" width="24.85546875" bestFit="1" customWidth="1"/>
    <col min="6" max="6" width="25.5703125" bestFit="1" customWidth="1"/>
    <col min="7" max="7" width="13" bestFit="1" customWidth="1"/>
    <col min="9" max="9" width="14.5703125" bestFit="1" customWidth="1"/>
    <col min="10" max="10" width="22.42578125" bestFit="1" customWidth="1"/>
    <col min="11" max="11" width="15.5703125" bestFit="1" customWidth="1"/>
    <col min="13" max="13" width="20.5703125" bestFit="1" customWidth="1"/>
  </cols>
  <sheetData>
    <row r="1" spans="1:13" x14ac:dyDescent="0.25">
      <c r="A1" s="9" t="s">
        <v>31</v>
      </c>
      <c r="B1" s="9" t="s">
        <v>32</v>
      </c>
      <c r="C1" s="9" t="s">
        <v>33</v>
      </c>
      <c r="D1" s="9" t="s">
        <v>34</v>
      </c>
      <c r="E1" s="9" t="s">
        <v>35</v>
      </c>
      <c r="F1" s="10" t="s">
        <v>36</v>
      </c>
      <c r="G1" s="10" t="s">
        <v>37</v>
      </c>
    </row>
    <row r="2" spans="1:13" x14ac:dyDescent="0.25">
      <c r="A2" t="s">
        <v>38</v>
      </c>
      <c r="B2" t="s">
        <v>39</v>
      </c>
      <c r="C2" s="44" t="b">
        <v>1</v>
      </c>
      <c r="D2" s="11" t="b">
        <v>0</v>
      </c>
      <c r="E2" s="12" t="b">
        <v>0</v>
      </c>
    </row>
    <row r="3" spans="1:13" x14ac:dyDescent="0.25">
      <c r="A3" t="s">
        <v>40</v>
      </c>
      <c r="B3" t="s">
        <v>41</v>
      </c>
      <c r="C3" s="44">
        <v>3</v>
      </c>
      <c r="D3" s="11">
        <v>1</v>
      </c>
      <c r="E3" s="12">
        <v>1</v>
      </c>
      <c r="F3" s="13" cm="1">
        <f t="array" aca="1" ref="F3" ca="1">IF(C3="","",INDEX(_xlfn.ANCHORARRAY(Sheet2!H5),C3))</f>
        <v>46266</v>
      </c>
    </row>
    <row r="4" spans="1:13" x14ac:dyDescent="0.25">
      <c r="A4" t="s">
        <v>6</v>
      </c>
      <c r="B4" t="s">
        <v>41</v>
      </c>
      <c r="C4" s="44">
        <v>2</v>
      </c>
      <c r="D4" s="11">
        <v>3</v>
      </c>
      <c r="E4" s="12">
        <v>2</v>
      </c>
      <c r="F4" t="str" cm="1">
        <f t="array" ref="F4">IF(C4="","",(INDEX('Phase 1'!A4:A6,C4)))</f>
        <v>Crawl space</v>
      </c>
      <c r="G4" t="str">
        <f>_xlfn.IFNA(VLOOKUP(F4,$J$5:$K$7,2,FALSE),"")</f>
        <v>CrawlSpace</v>
      </c>
      <c r="J4" t="s">
        <v>42</v>
      </c>
      <c r="K4" t="s">
        <v>43</v>
      </c>
    </row>
    <row r="5" spans="1:13" x14ac:dyDescent="0.25">
      <c r="A5" t="s">
        <v>9</v>
      </c>
      <c r="B5" t="s">
        <v>41</v>
      </c>
      <c r="C5" s="44">
        <v>3</v>
      </c>
      <c r="D5" s="11">
        <v>4</v>
      </c>
      <c r="E5" s="12">
        <v>2</v>
      </c>
      <c r="F5" t="str" cm="1">
        <f t="array" aca="1" ref="F5" ca="1">IF(C5="","",INDEX(_xlfn.ANCHORARRAY(J11),C5))</f>
        <v>Metal</v>
      </c>
      <c r="G5" t="str">
        <f ca="1">VLOOKUP(F5,J24:K29,2,FALSE)</f>
        <v>Metal</v>
      </c>
      <c r="J5" t="s">
        <v>44</v>
      </c>
      <c r="K5" t="s">
        <v>45</v>
      </c>
    </row>
    <row r="6" spans="1:13" x14ac:dyDescent="0.25">
      <c r="A6" t="s">
        <v>46</v>
      </c>
      <c r="B6" t="s">
        <v>41</v>
      </c>
      <c r="C6" s="44">
        <v>2</v>
      </c>
      <c r="D6" s="11">
        <v>3</v>
      </c>
      <c r="E6" s="12">
        <v>4</v>
      </c>
      <c r="F6" t="str" cm="1">
        <f t="array" ref="F6">IF(C6="","",INDEX('Phase 1'!A17:A20,C6))</f>
        <v>Gable</v>
      </c>
      <c r="J6" t="s">
        <v>47</v>
      </c>
      <c r="K6" t="s">
        <v>48</v>
      </c>
    </row>
    <row r="7" spans="1:13" x14ac:dyDescent="0.25">
      <c r="A7" t="s">
        <v>49</v>
      </c>
      <c r="B7" t="s">
        <v>50</v>
      </c>
      <c r="C7" s="44">
        <v>1300</v>
      </c>
      <c r="D7" s="11">
        <v>1000</v>
      </c>
      <c r="E7" s="12">
        <v>1200</v>
      </c>
      <c r="J7" t="s">
        <v>51</v>
      </c>
      <c r="K7" t="s">
        <v>52</v>
      </c>
    </row>
    <row r="8" spans="1:13" x14ac:dyDescent="0.25">
      <c r="A8" t="s">
        <v>21</v>
      </c>
      <c r="B8" t="s">
        <v>41</v>
      </c>
      <c r="C8" s="44">
        <v>5</v>
      </c>
      <c r="D8" s="11">
        <v>4</v>
      </c>
      <c r="E8" s="12">
        <v>5</v>
      </c>
      <c r="F8" t="str" cm="1">
        <f t="array" ref="F8">INDEX('Phase 2'!G19:J24,C8,C6)</f>
        <v>Clay/concrete tiles</v>
      </c>
    </row>
    <row r="9" spans="1:13" x14ac:dyDescent="0.25">
      <c r="A9" t="s">
        <v>53</v>
      </c>
      <c r="B9" t="s">
        <v>50</v>
      </c>
      <c r="C9" s="44">
        <v>12</v>
      </c>
      <c r="D9" s="11">
        <v>10</v>
      </c>
      <c r="E9" s="12">
        <v>13</v>
      </c>
    </row>
    <row r="10" spans="1:13" x14ac:dyDescent="0.25">
      <c r="A10" t="s">
        <v>54</v>
      </c>
      <c r="B10" t="s">
        <v>41</v>
      </c>
      <c r="C10" s="44">
        <v>2</v>
      </c>
      <c r="D10" s="11">
        <v>3</v>
      </c>
      <c r="E10" s="12">
        <v>4</v>
      </c>
      <c r="F10" t="str" cm="1">
        <f t="array" ref="F10">INDEX('Phase 2'!A18:A22,C10)</f>
        <v>Double-pane</v>
      </c>
      <c r="J10" s="14" t="s">
        <v>55</v>
      </c>
    </row>
    <row r="11" spans="1:13" x14ac:dyDescent="0.25">
      <c r="A11" t="s">
        <v>3</v>
      </c>
      <c r="B11" t="s">
        <v>41</v>
      </c>
      <c r="C11" s="44">
        <v>2</v>
      </c>
      <c r="D11" s="11">
        <v>1</v>
      </c>
      <c r="E11" s="12">
        <v>3</v>
      </c>
      <c r="F11" t="str" cm="1">
        <f t="array" aca="1" ref="F11" ca="1">IF(G5="Insulated",M24,INDEX(_xlfn.ANCHORARRAY(M24),C11))</f>
        <v>Wool</v>
      </c>
      <c r="J11" t="str" cm="1">
        <f t="array" aca="1" ref="J11:J14" ca="1">INDIRECT(G4)</f>
        <v>Wood</v>
      </c>
    </row>
    <row r="12" spans="1:13" x14ac:dyDescent="0.25">
      <c r="A12" t="s">
        <v>5</v>
      </c>
      <c r="B12" t="s">
        <v>41</v>
      </c>
      <c r="C12" s="44">
        <v>2</v>
      </c>
      <c r="D12" s="11">
        <v>3</v>
      </c>
      <c r="E12" s="12">
        <v>5</v>
      </c>
      <c r="F12" t="str" cm="1">
        <f t="array" ref="F12">INDEX('Phase 3'!A15:B21,C12,1)</f>
        <v>Wood-burning stove</v>
      </c>
      <c r="J12" t="str">
        <f ca="1"/>
        <v>Earthbag</v>
      </c>
    </row>
    <row r="13" spans="1:13" x14ac:dyDescent="0.25">
      <c r="A13" t="s">
        <v>7</v>
      </c>
      <c r="B13" t="s">
        <v>41</v>
      </c>
      <c r="C13" s="44">
        <v>3</v>
      </c>
      <c r="D13" s="11">
        <v>2</v>
      </c>
      <c r="E13" s="12">
        <v>5</v>
      </c>
      <c r="F13" t="str" cm="1">
        <f t="array" ref="F13">INDEX('Phase 3'!H24:H30,C13)</f>
        <v>Natural gas furnace</v>
      </c>
      <c r="J13" t="str">
        <f ca="1"/>
        <v>Metal</v>
      </c>
    </row>
    <row r="14" spans="1:13" x14ac:dyDescent="0.25">
      <c r="A14" t="s">
        <v>10</v>
      </c>
      <c r="B14" t="s">
        <v>41</v>
      </c>
      <c r="C14" s="44">
        <v>2</v>
      </c>
      <c r="D14" s="11">
        <v>2</v>
      </c>
      <c r="E14" s="12">
        <v>3</v>
      </c>
      <c r="F14" t="str" cm="1">
        <f t="array" ref="F14">INDEX('Phase 3'!A25:A28,C14)</f>
        <v>Cistern</v>
      </c>
      <c r="J14" t="str">
        <f ca="1"/>
        <v>Rammed earth</v>
      </c>
    </row>
    <row r="15" spans="1:13" x14ac:dyDescent="0.25">
      <c r="A15" t="s">
        <v>56</v>
      </c>
      <c r="B15" t="s">
        <v>41</v>
      </c>
      <c r="C15" s="44">
        <v>2</v>
      </c>
      <c r="D15" s="11">
        <v>2</v>
      </c>
      <c r="E15" s="12">
        <v>3</v>
      </c>
      <c r="F15" t="str" cm="1">
        <f t="array" ref="F15">INDEX('Phase 3'!A32:A34,C15)</f>
        <v>Solar</v>
      </c>
    </row>
    <row r="16" spans="1:13" x14ac:dyDescent="0.25">
      <c r="A16" t="s">
        <v>57</v>
      </c>
      <c r="B16" t="s">
        <v>50</v>
      </c>
      <c r="C16" s="44">
        <v>4</v>
      </c>
      <c r="D16" s="11">
        <v>2</v>
      </c>
      <c r="E16" s="12">
        <v>5</v>
      </c>
      <c r="F16">
        <f>IFERROR(IF(F15="Solar",C16,0),"")</f>
        <v>4</v>
      </c>
      <c r="J16" t="s">
        <v>58</v>
      </c>
      <c r="K16" t="s">
        <v>59</v>
      </c>
      <c r="M16" t="s">
        <v>60</v>
      </c>
    </row>
    <row r="17" spans="3:13" x14ac:dyDescent="0.25">
      <c r="C17" s="44"/>
      <c r="D17" s="11"/>
      <c r="E17" s="12"/>
      <c r="J17" t="s">
        <v>61</v>
      </c>
      <c r="K17" t="str" cm="1">
        <f t="array" aca="1" ref="K17:K22" ca="1">INDIRECT(F6)</f>
        <v>Asphalt shingles</v>
      </c>
      <c r="M17" t="b">
        <f>IF(F8='Phase 2'!F14,TRUE,FALSE)</f>
        <v>0</v>
      </c>
    </row>
    <row r="18" spans="3:13" x14ac:dyDescent="0.25">
      <c r="C18" s="44"/>
      <c r="D18" s="11"/>
      <c r="E18" s="12"/>
      <c r="J18" t="s">
        <v>62</v>
      </c>
      <c r="K18" t="str">
        <f ca="1"/>
        <v>Composite shingles</v>
      </c>
    </row>
    <row r="19" spans="3:13" x14ac:dyDescent="0.25">
      <c r="C19" s="44"/>
      <c r="D19" s="11"/>
      <c r="E19" s="12"/>
      <c r="J19" t="s">
        <v>63</v>
      </c>
      <c r="K19" t="str">
        <f ca="1"/>
        <v>Metal</v>
      </c>
    </row>
    <row r="20" spans="3:13" x14ac:dyDescent="0.25">
      <c r="C20" s="44"/>
      <c r="D20" s="11"/>
      <c r="E20" s="12"/>
      <c r="J20" t="s">
        <v>64</v>
      </c>
      <c r="K20" t="str">
        <f ca="1"/>
        <v>Wood shingles/shakes</v>
      </c>
    </row>
    <row r="21" spans="3:13" x14ac:dyDescent="0.25">
      <c r="C21" s="44"/>
      <c r="D21" s="11"/>
      <c r="E21" s="12"/>
      <c r="K21" t="str">
        <f ca="1"/>
        <v>Clay/concrete tiles</v>
      </c>
    </row>
    <row r="22" spans="3:13" x14ac:dyDescent="0.25">
      <c r="C22" s="44"/>
      <c r="D22" s="11"/>
      <c r="E22" s="12"/>
      <c r="K22" t="str">
        <f ca="1"/>
        <v>Slate</v>
      </c>
    </row>
    <row r="23" spans="3:13" x14ac:dyDescent="0.25">
      <c r="C23" s="44"/>
      <c r="D23" s="11"/>
      <c r="E23" s="12"/>
      <c r="J23" t="s">
        <v>65</v>
      </c>
      <c r="K23" t="s">
        <v>43</v>
      </c>
      <c r="M23" t="s">
        <v>66</v>
      </c>
    </row>
    <row r="24" spans="3:13" x14ac:dyDescent="0.25">
      <c r="C24" s="44"/>
      <c r="D24" s="11"/>
      <c r="E24" s="12"/>
      <c r="J24" t="s">
        <v>67</v>
      </c>
      <c r="K24" t="s">
        <v>67</v>
      </c>
      <c r="M24" t="str" cm="1">
        <f t="array" aca="1" ref="M24:M26" ca="1">INDIRECT(G5)</f>
        <v>Fiberglass rolls</v>
      </c>
    </row>
    <row r="25" spans="3:13" x14ac:dyDescent="0.25">
      <c r="C25" s="44"/>
      <c r="D25" s="11"/>
      <c r="E25" s="12"/>
      <c r="J25" t="s">
        <v>68</v>
      </c>
      <c r="K25" t="s">
        <v>68</v>
      </c>
      <c r="M25" t="str">
        <f ca="1"/>
        <v>Wool</v>
      </c>
    </row>
    <row r="26" spans="3:13" x14ac:dyDescent="0.25">
      <c r="C26" s="44"/>
      <c r="D26" s="11"/>
      <c r="E26" s="12"/>
      <c r="J26" t="s">
        <v>69</v>
      </c>
      <c r="K26" t="s">
        <v>69</v>
      </c>
      <c r="M26" t="str">
        <f ca="1"/>
        <v>Cork</v>
      </c>
    </row>
    <row r="27" spans="3:13" x14ac:dyDescent="0.25">
      <c r="C27" s="44"/>
      <c r="D27" s="11"/>
      <c r="E27" s="12"/>
      <c r="J27" t="s">
        <v>70</v>
      </c>
      <c r="K27" t="s">
        <v>71</v>
      </c>
    </row>
    <row r="28" spans="3:13" x14ac:dyDescent="0.25">
      <c r="C28" s="44"/>
      <c r="D28" s="11"/>
      <c r="E28" s="12"/>
      <c r="J28" t="s">
        <v>72</v>
      </c>
      <c r="K28" t="s">
        <v>73</v>
      </c>
    </row>
    <row r="29" spans="3:13" x14ac:dyDescent="0.25">
      <c r="C29" s="44"/>
      <c r="D29" s="11"/>
      <c r="E29" s="12"/>
      <c r="J29" t="s">
        <v>74</v>
      </c>
      <c r="K29" t="s">
        <v>75</v>
      </c>
    </row>
    <row r="30" spans="3:13" x14ac:dyDescent="0.25">
      <c r="C30" s="44"/>
      <c r="D30" s="11"/>
      <c r="E30" s="12"/>
    </row>
    <row r="31" spans="3:13" x14ac:dyDescent="0.25">
      <c r="C31" s="44"/>
      <c r="D31" s="11"/>
      <c r="E31" s="12"/>
    </row>
    <row r="32" spans="3:13" x14ac:dyDescent="0.25">
      <c r="C32" s="44"/>
      <c r="D32" s="11"/>
      <c r="E32" s="12"/>
    </row>
    <row r="33" spans="3:5" x14ac:dyDescent="0.25">
      <c r="C33" s="44"/>
      <c r="D33" s="11"/>
      <c r="E33" s="12"/>
    </row>
    <row r="34" spans="3:5" x14ac:dyDescent="0.25">
      <c r="C34" s="44"/>
      <c r="D34" s="11"/>
      <c r="E34" s="12"/>
    </row>
    <row r="35" spans="3:5" x14ac:dyDescent="0.25">
      <c r="C35" s="44"/>
      <c r="D35" s="11"/>
      <c r="E35" s="12"/>
    </row>
    <row r="36" spans="3:5" x14ac:dyDescent="0.25">
      <c r="C36" s="44"/>
      <c r="D36" s="11"/>
      <c r="E36" s="12"/>
    </row>
    <row r="37" spans="3:5" x14ac:dyDescent="0.25">
      <c r="C37" s="44"/>
      <c r="D37" s="11"/>
      <c r="E37" s="12"/>
    </row>
    <row r="38" spans="3:5" x14ac:dyDescent="0.25">
      <c r="C38" s="44"/>
      <c r="D38" s="11"/>
      <c r="E38" s="12"/>
    </row>
    <row r="39" spans="3:5" x14ac:dyDescent="0.25">
      <c r="C39" s="44"/>
      <c r="D39" s="11"/>
      <c r="E39" s="12"/>
    </row>
    <row r="40" spans="3:5" x14ac:dyDescent="0.25">
      <c r="C40" s="44"/>
      <c r="D40" s="11"/>
      <c r="E4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E97B9-0877-4F06-8A41-44853E9DF1CB}">
  <dimension ref="A1:M38"/>
  <sheetViews>
    <sheetView workbookViewId="0">
      <selection activeCell="K15" sqref="K15"/>
    </sheetView>
  </sheetViews>
  <sheetFormatPr defaultRowHeight="15" x14ac:dyDescent="0.25"/>
  <cols>
    <col min="1" max="1" width="26.5703125" customWidth="1"/>
    <col min="2" max="2" width="21" customWidth="1"/>
    <col min="3" max="4" width="39.5703125" bestFit="1" customWidth="1"/>
    <col min="5" max="5" width="18.5703125" customWidth="1"/>
    <col min="6" max="6" width="3.42578125" customWidth="1"/>
    <col min="7" max="7" width="21.5703125" customWidth="1"/>
    <col min="8" max="8" width="28" bestFit="1" customWidth="1"/>
    <col min="9" max="9" width="13.85546875" bestFit="1" customWidth="1"/>
    <col min="10" max="10" width="20.5703125" bestFit="1" customWidth="1"/>
    <col min="11" max="11" width="21.5703125" bestFit="1" customWidth="1"/>
    <col min="12" max="12" width="9.5703125" bestFit="1" customWidth="1"/>
    <col min="13" max="13" width="13.42578125" bestFit="1" customWidth="1"/>
    <col min="14" max="14" width="18" customWidth="1"/>
    <col min="15" max="15" width="10.85546875" customWidth="1"/>
    <col min="16" max="16" width="41.140625" bestFit="1" customWidth="1"/>
  </cols>
  <sheetData>
    <row r="1" spans="1:13" ht="15.75" x14ac:dyDescent="0.25">
      <c r="A1" s="30" t="s">
        <v>246</v>
      </c>
    </row>
    <row r="2" spans="1:13" x14ac:dyDescent="0.25">
      <c r="G2" s="38" t="s">
        <v>247</v>
      </c>
    </row>
    <row r="3" spans="1:13" x14ac:dyDescent="0.25">
      <c r="A3" s="6" t="s">
        <v>76</v>
      </c>
      <c r="B3" t="s">
        <v>77</v>
      </c>
      <c r="C3" t="s">
        <v>78</v>
      </c>
      <c r="D3" t="s">
        <v>79</v>
      </c>
      <c r="H3" s="6" t="s">
        <v>80</v>
      </c>
    </row>
    <row r="4" spans="1:13" x14ac:dyDescent="0.25">
      <c r="A4" t="s">
        <v>81</v>
      </c>
      <c r="B4" s="15">
        <v>1</v>
      </c>
      <c r="C4">
        <v>5</v>
      </c>
      <c r="D4">
        <v>60</v>
      </c>
      <c r="G4" s="6" t="s">
        <v>82</v>
      </c>
      <c r="H4" s="56" t="s">
        <v>67</v>
      </c>
      <c r="I4" s="56" t="s">
        <v>69</v>
      </c>
      <c r="J4" s="56" t="s">
        <v>70</v>
      </c>
      <c r="K4" s="56" t="s">
        <v>74</v>
      </c>
      <c r="L4" s="56" t="s">
        <v>68</v>
      </c>
      <c r="M4" s="56" t="s">
        <v>72</v>
      </c>
    </row>
    <row r="5" spans="1:13" x14ac:dyDescent="0.25">
      <c r="A5" t="s">
        <v>83</v>
      </c>
      <c r="B5" s="15">
        <v>1.2</v>
      </c>
      <c r="C5">
        <v>3</v>
      </c>
      <c r="D5">
        <v>70</v>
      </c>
      <c r="G5" t="s">
        <v>81</v>
      </c>
      <c r="H5" s="16" t="s">
        <v>84</v>
      </c>
      <c r="I5" s="17" t="s">
        <v>84</v>
      </c>
      <c r="J5" s="18"/>
      <c r="K5" s="18"/>
      <c r="L5" s="18"/>
      <c r="M5" s="19"/>
    </row>
    <row r="6" spans="1:13" x14ac:dyDescent="0.25">
      <c r="A6" t="s">
        <v>85</v>
      </c>
      <c r="B6" s="15">
        <v>2</v>
      </c>
      <c r="C6">
        <v>10</v>
      </c>
      <c r="D6">
        <v>85</v>
      </c>
      <c r="G6" t="s">
        <v>83</v>
      </c>
      <c r="H6" s="20" t="s">
        <v>84</v>
      </c>
      <c r="M6" s="21"/>
    </row>
    <row r="7" spans="1:13" x14ac:dyDescent="0.25">
      <c r="A7" t="s">
        <v>86</v>
      </c>
      <c r="B7" s="15">
        <v>2.5</v>
      </c>
      <c r="C7">
        <v>5</v>
      </c>
      <c r="D7">
        <v>90</v>
      </c>
      <c r="G7" t="s">
        <v>85</v>
      </c>
      <c r="H7" s="22"/>
      <c r="L7" s="23" t="s">
        <v>84</v>
      </c>
      <c r="M7" s="24" t="s">
        <v>84</v>
      </c>
    </row>
    <row r="8" spans="1:13" x14ac:dyDescent="0.25">
      <c r="A8" t="s">
        <v>87</v>
      </c>
      <c r="B8" s="15">
        <v>2.75</v>
      </c>
      <c r="C8">
        <v>4</v>
      </c>
      <c r="D8">
        <v>70</v>
      </c>
      <c r="G8" t="s">
        <v>86</v>
      </c>
      <c r="H8" s="20" t="s">
        <v>84</v>
      </c>
      <c r="J8" s="23" t="s">
        <v>84</v>
      </c>
      <c r="M8" s="21"/>
    </row>
    <row r="9" spans="1:13" x14ac:dyDescent="0.25">
      <c r="A9" t="s">
        <v>88</v>
      </c>
      <c r="B9" s="15">
        <v>3</v>
      </c>
      <c r="C9">
        <v>5</v>
      </c>
      <c r="D9">
        <v>80</v>
      </c>
      <c r="G9" t="s">
        <v>87</v>
      </c>
      <c r="H9" s="20" t="s">
        <v>84</v>
      </c>
      <c r="I9" s="23" t="s">
        <v>84</v>
      </c>
      <c r="J9" s="23" t="s">
        <v>84</v>
      </c>
      <c r="L9" s="23" t="s">
        <v>84</v>
      </c>
      <c r="M9" s="24" t="s">
        <v>84</v>
      </c>
    </row>
    <row r="10" spans="1:13" x14ac:dyDescent="0.25">
      <c r="A10" t="s">
        <v>89</v>
      </c>
      <c r="B10" s="15">
        <v>7</v>
      </c>
      <c r="C10">
        <v>10</v>
      </c>
      <c r="D10">
        <v>100</v>
      </c>
      <c r="G10" t="s">
        <v>88</v>
      </c>
      <c r="H10" s="22"/>
      <c r="I10" s="23" t="s">
        <v>84</v>
      </c>
      <c r="J10" s="23" t="s">
        <v>84</v>
      </c>
      <c r="L10" s="23" t="s">
        <v>84</v>
      </c>
      <c r="M10" s="24" t="s">
        <v>84</v>
      </c>
    </row>
    <row r="11" spans="1:13" x14ac:dyDescent="0.25">
      <c r="G11" t="s">
        <v>89</v>
      </c>
      <c r="H11" s="25"/>
      <c r="I11" s="26"/>
      <c r="J11" s="26"/>
      <c r="K11" s="27" t="s">
        <v>84</v>
      </c>
      <c r="L11" s="26"/>
      <c r="M11" s="28"/>
    </row>
    <row r="13" spans="1:13" x14ac:dyDescent="0.25">
      <c r="A13" s="6" t="s">
        <v>90</v>
      </c>
    </row>
    <row r="14" spans="1:13" x14ac:dyDescent="0.25">
      <c r="B14" t="s">
        <v>91</v>
      </c>
      <c r="C14" t="s">
        <v>77</v>
      </c>
      <c r="D14" t="s">
        <v>78</v>
      </c>
      <c r="E14" t="s">
        <v>79</v>
      </c>
      <c r="H14" s="56" t="s">
        <v>67</v>
      </c>
      <c r="I14" s="56" t="s">
        <v>69</v>
      </c>
      <c r="J14" s="56" t="s">
        <v>70</v>
      </c>
      <c r="K14" s="56" t="s">
        <v>74</v>
      </c>
      <c r="L14" s="56" t="s">
        <v>68</v>
      </c>
      <c r="M14" s="56" t="s">
        <v>72</v>
      </c>
    </row>
    <row r="15" spans="1:13" x14ac:dyDescent="0.25">
      <c r="A15" t="s">
        <v>92</v>
      </c>
      <c r="B15" s="29">
        <v>2500</v>
      </c>
      <c r="C15" s="29">
        <v>5</v>
      </c>
      <c r="D15">
        <v>0.4</v>
      </c>
      <c r="E15">
        <v>40</v>
      </c>
      <c r="H15" t="s">
        <v>81</v>
      </c>
      <c r="I15" t="s">
        <v>81</v>
      </c>
      <c r="J15" t="s">
        <v>86</v>
      </c>
      <c r="K15" t="s">
        <v>89</v>
      </c>
      <c r="L15" t="s">
        <v>85</v>
      </c>
      <c r="M15" t="s">
        <v>85</v>
      </c>
    </row>
    <row r="16" spans="1:13" x14ac:dyDescent="0.25">
      <c r="A16" t="s">
        <v>93</v>
      </c>
      <c r="B16" s="29">
        <v>3000</v>
      </c>
      <c r="C16" s="29">
        <v>6</v>
      </c>
      <c r="D16">
        <v>1.4</v>
      </c>
      <c r="E16">
        <v>100</v>
      </c>
      <c r="H16" t="s">
        <v>83</v>
      </c>
      <c r="I16" t="s">
        <v>87</v>
      </c>
      <c r="J16" t="s">
        <v>87</v>
      </c>
      <c r="L16" t="s">
        <v>87</v>
      </c>
      <c r="M16" t="s">
        <v>87</v>
      </c>
    </row>
    <row r="17" spans="1:13" x14ac:dyDescent="0.25">
      <c r="A17" t="s">
        <v>94</v>
      </c>
      <c r="B17" s="29">
        <v>3500</v>
      </c>
      <c r="C17" s="29">
        <v>6</v>
      </c>
      <c r="D17">
        <v>0.6</v>
      </c>
      <c r="E17">
        <v>90</v>
      </c>
      <c r="H17" t="s">
        <v>86</v>
      </c>
      <c r="I17" t="s">
        <v>88</v>
      </c>
      <c r="J17" t="s">
        <v>88</v>
      </c>
      <c r="L17" t="s">
        <v>88</v>
      </c>
      <c r="M17" t="s">
        <v>88</v>
      </c>
    </row>
    <row r="18" spans="1:13" x14ac:dyDescent="0.25">
      <c r="A18" t="s">
        <v>95</v>
      </c>
      <c r="B18" s="29">
        <v>3500</v>
      </c>
      <c r="C18" s="29">
        <v>7</v>
      </c>
      <c r="D18">
        <v>1.2</v>
      </c>
      <c r="E18">
        <v>70</v>
      </c>
      <c r="H18" t="s">
        <v>87</v>
      </c>
    </row>
    <row r="19" spans="1:13" x14ac:dyDescent="0.25">
      <c r="A19" t="s">
        <v>96</v>
      </c>
      <c r="B19" s="29">
        <v>4000</v>
      </c>
      <c r="C19" s="29">
        <v>8</v>
      </c>
      <c r="D19">
        <v>0.4</v>
      </c>
      <c r="E19">
        <v>50</v>
      </c>
    </row>
    <row r="20" spans="1:13" x14ac:dyDescent="0.25">
      <c r="A20" t="s">
        <v>97</v>
      </c>
      <c r="B20" s="29">
        <v>4000</v>
      </c>
      <c r="C20" s="29">
        <v>12</v>
      </c>
      <c r="D20">
        <v>0.4</v>
      </c>
      <c r="E20">
        <v>60</v>
      </c>
    </row>
    <row r="21" spans="1:13" x14ac:dyDescent="0.25">
      <c r="A21" t="s">
        <v>98</v>
      </c>
      <c r="B21" s="29">
        <v>15000</v>
      </c>
      <c r="C21" s="29">
        <v>12</v>
      </c>
      <c r="D21">
        <v>0.6</v>
      </c>
      <c r="E21">
        <v>50</v>
      </c>
    </row>
    <row r="23" spans="1:13" x14ac:dyDescent="0.25">
      <c r="A23" s="6" t="s">
        <v>99</v>
      </c>
      <c r="I23" s="15"/>
      <c r="J23" s="15"/>
    </row>
    <row r="24" spans="1:13" x14ac:dyDescent="0.25">
      <c r="B24" t="s">
        <v>91</v>
      </c>
      <c r="C24" t="s">
        <v>77</v>
      </c>
      <c r="D24" t="s">
        <v>78</v>
      </c>
      <c r="E24" t="s">
        <v>79</v>
      </c>
      <c r="H24" t="str">
        <f>IF('Cell Links'!$F$12="Electric furnace","None","Electric furnace")</f>
        <v>Electric furnace</v>
      </c>
      <c r="I24" s="29">
        <v>2500</v>
      </c>
      <c r="J24" s="29">
        <v>5</v>
      </c>
    </row>
    <row r="25" spans="1:13" x14ac:dyDescent="0.25">
      <c r="A25" t="s">
        <v>100</v>
      </c>
      <c r="B25" s="29">
        <v>4600</v>
      </c>
      <c r="C25" s="29" t="s">
        <v>101</v>
      </c>
      <c r="D25">
        <v>0.4</v>
      </c>
      <c r="E25">
        <v>50</v>
      </c>
      <c r="H25" t="str">
        <f>IF('Cell Links'!$F$12="Wood-burning stove","None","Wood-burning stove")</f>
        <v>None</v>
      </c>
      <c r="I25" s="29">
        <v>3000</v>
      </c>
      <c r="J25" s="29">
        <v>6</v>
      </c>
    </row>
    <row r="26" spans="1:13" x14ac:dyDescent="0.25">
      <c r="A26" t="s">
        <v>102</v>
      </c>
      <c r="B26" s="29">
        <v>9100</v>
      </c>
      <c r="C26" s="29" t="s">
        <v>101</v>
      </c>
      <c r="D26">
        <v>0.8</v>
      </c>
      <c r="E26">
        <v>40</v>
      </c>
      <c r="H26" t="str">
        <f>IF('Cell Links'!$F$12="Natural gas furnace","None","Natural gas furnace")</f>
        <v>Natural gas furnace</v>
      </c>
      <c r="I26" s="29">
        <v>3500</v>
      </c>
      <c r="J26" s="29">
        <v>6</v>
      </c>
    </row>
    <row r="27" spans="1:13" x14ac:dyDescent="0.25">
      <c r="A27" t="s">
        <v>103</v>
      </c>
      <c r="B27" s="29">
        <v>10750</v>
      </c>
      <c r="C27" s="29" t="s">
        <v>101</v>
      </c>
      <c r="D27">
        <v>1.4</v>
      </c>
      <c r="E27">
        <v>100</v>
      </c>
      <c r="H27" t="str">
        <f>IF('Cell Links'!$F$12="Pellet stove","None","Pellet stove")</f>
        <v>Pellet stove</v>
      </c>
      <c r="I27" s="29">
        <v>3500</v>
      </c>
      <c r="J27" s="29">
        <v>7</v>
      </c>
    </row>
    <row r="28" spans="1:13" x14ac:dyDescent="0.25">
      <c r="A28" t="s">
        <v>104</v>
      </c>
      <c r="B28" s="29">
        <v>17750</v>
      </c>
      <c r="C28" s="29" t="s">
        <v>101</v>
      </c>
      <c r="D28">
        <v>1</v>
      </c>
      <c r="E28">
        <v>60</v>
      </c>
      <c r="H28" t="str">
        <f>IF('Cell Links'!$F$12="Ductless mini-split","None","Ductless mini-split")</f>
        <v>Ductless mini-split</v>
      </c>
      <c r="I28" s="29">
        <v>4000</v>
      </c>
      <c r="J28" s="29">
        <v>8</v>
      </c>
    </row>
    <row r="29" spans="1:13" x14ac:dyDescent="0.25">
      <c r="H29" t="str">
        <f>IF('Cell Links'!$F$12="Electric radiant floor heating","None","Electric radiant floor heating")</f>
        <v>Electric radiant floor heating</v>
      </c>
      <c r="I29" s="29">
        <v>4000</v>
      </c>
      <c r="J29" s="29">
        <v>12</v>
      </c>
    </row>
    <row r="30" spans="1:13" x14ac:dyDescent="0.25">
      <c r="A30" s="6" t="s">
        <v>105</v>
      </c>
      <c r="H30" t="str">
        <f>IF('Cell Links'!$F$12="Geothermal","None","Geothermal")</f>
        <v>Geothermal</v>
      </c>
      <c r="I30" s="29">
        <v>15000</v>
      </c>
      <c r="J30" s="29">
        <v>12</v>
      </c>
    </row>
    <row r="31" spans="1:13" x14ac:dyDescent="0.25">
      <c r="B31" t="s">
        <v>91</v>
      </c>
      <c r="C31" t="s">
        <v>77</v>
      </c>
      <c r="D31" t="s">
        <v>78</v>
      </c>
      <c r="E31" t="s">
        <v>79</v>
      </c>
    </row>
    <row r="32" spans="1:13" x14ac:dyDescent="0.25">
      <c r="A32" t="s">
        <v>106</v>
      </c>
      <c r="B32" s="29">
        <v>3000</v>
      </c>
      <c r="C32" s="15">
        <v>3.5</v>
      </c>
      <c r="D32">
        <v>0.6</v>
      </c>
      <c r="E32">
        <v>50</v>
      </c>
      <c r="I32" s="29"/>
      <c r="J32" s="29"/>
    </row>
    <row r="33" spans="1:10" x14ac:dyDescent="0.25">
      <c r="A33" t="s">
        <v>107</v>
      </c>
      <c r="B33" s="29">
        <v>20000</v>
      </c>
      <c r="C33" s="15">
        <v>7.5</v>
      </c>
      <c r="D33">
        <v>1.4</v>
      </c>
      <c r="E33">
        <v>90</v>
      </c>
      <c r="I33" s="29"/>
      <c r="J33" s="29"/>
    </row>
    <row r="34" spans="1:10" x14ac:dyDescent="0.25">
      <c r="A34" t="s">
        <v>108</v>
      </c>
      <c r="B34" s="29">
        <v>25000</v>
      </c>
      <c r="C34" s="15">
        <v>7.5</v>
      </c>
      <c r="D34">
        <v>2</v>
      </c>
      <c r="E34">
        <v>85</v>
      </c>
      <c r="I34" s="29"/>
      <c r="J34" s="29"/>
    </row>
    <row r="35" spans="1:10" x14ac:dyDescent="0.25">
      <c r="I35" s="29"/>
      <c r="J35" s="29"/>
    </row>
    <row r="36" spans="1:10" x14ac:dyDescent="0.25">
      <c r="I36" s="29"/>
      <c r="J36" s="29"/>
    </row>
    <row r="37" spans="1:10" x14ac:dyDescent="0.25">
      <c r="I37" s="29"/>
      <c r="J37" s="29"/>
    </row>
    <row r="38" spans="1:10" x14ac:dyDescent="0.25">
      <c r="I38" s="29"/>
      <c r="J38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CDD04-1EAE-4B26-AB52-0E893F20E6FD}">
  <dimension ref="A1:J24"/>
  <sheetViews>
    <sheetView workbookViewId="0">
      <selection activeCell="E21" sqref="E21"/>
    </sheetView>
  </sheetViews>
  <sheetFormatPr defaultRowHeight="15" x14ac:dyDescent="0.25"/>
  <cols>
    <col min="1" max="1" width="26.140625" customWidth="1"/>
    <col min="2" max="2" width="16.42578125" customWidth="1"/>
    <col min="3" max="3" width="31.7109375" bestFit="1" customWidth="1"/>
    <col min="4" max="4" width="17.85546875" customWidth="1"/>
    <col min="5" max="5" width="40.42578125" bestFit="1" customWidth="1"/>
    <col min="6" max="6" width="20.140625" customWidth="1"/>
    <col min="7" max="7" width="16.85546875" bestFit="1" customWidth="1"/>
    <col min="8" max="9" width="18.5703125" bestFit="1" customWidth="1"/>
    <col min="10" max="10" width="13.140625" customWidth="1"/>
    <col min="11" max="13" width="16.85546875" customWidth="1"/>
    <col min="14" max="14" width="18.42578125" customWidth="1"/>
    <col min="15" max="20" width="11.42578125" customWidth="1"/>
  </cols>
  <sheetData>
    <row r="1" spans="1:10" ht="15.75" x14ac:dyDescent="0.25">
      <c r="A1" s="30" t="s">
        <v>109</v>
      </c>
    </row>
    <row r="2" spans="1:10" x14ac:dyDescent="0.25">
      <c r="F2" s="6" t="s">
        <v>110</v>
      </c>
    </row>
    <row r="3" spans="1:10" x14ac:dyDescent="0.25">
      <c r="A3" s="6" t="s">
        <v>111</v>
      </c>
      <c r="B3" t="s">
        <v>112</v>
      </c>
      <c r="C3" t="s">
        <v>78</v>
      </c>
      <c r="D3" t="s">
        <v>79</v>
      </c>
      <c r="G3" s="6" t="s">
        <v>113</v>
      </c>
    </row>
    <row r="4" spans="1:10" x14ac:dyDescent="0.25">
      <c r="A4" t="s">
        <v>114</v>
      </c>
      <c r="B4" s="29">
        <v>5</v>
      </c>
      <c r="C4">
        <v>0.6</v>
      </c>
      <c r="D4">
        <v>40</v>
      </c>
      <c r="F4" s="6" t="s">
        <v>115</v>
      </c>
      <c r="G4" t="s">
        <v>61</v>
      </c>
      <c r="H4" t="s">
        <v>62</v>
      </c>
      <c r="I4" t="s">
        <v>63</v>
      </c>
      <c r="J4" t="s">
        <v>64</v>
      </c>
    </row>
    <row r="5" spans="1:10" x14ac:dyDescent="0.25">
      <c r="A5" t="s">
        <v>116</v>
      </c>
      <c r="B5" s="29">
        <v>6</v>
      </c>
      <c r="C5">
        <v>1.2</v>
      </c>
      <c r="D5">
        <v>50</v>
      </c>
      <c r="F5" t="s">
        <v>114</v>
      </c>
      <c r="G5" s="31"/>
      <c r="H5" s="17" t="s">
        <v>84</v>
      </c>
      <c r="I5" s="17" t="s">
        <v>84</v>
      </c>
      <c r="J5" s="32"/>
    </row>
    <row r="6" spans="1:10" x14ac:dyDescent="0.25">
      <c r="A6" t="s">
        <v>117</v>
      </c>
      <c r="B6" s="29">
        <v>6.5</v>
      </c>
      <c r="C6">
        <v>0.8</v>
      </c>
      <c r="D6">
        <v>60</v>
      </c>
      <c r="F6" t="s">
        <v>116</v>
      </c>
      <c r="G6" s="20" t="s">
        <v>84</v>
      </c>
      <c r="H6" s="33"/>
      <c r="I6" s="33"/>
      <c r="J6" s="34"/>
    </row>
    <row r="7" spans="1:10" x14ac:dyDescent="0.25">
      <c r="A7" t="s">
        <v>118</v>
      </c>
      <c r="B7" s="29">
        <v>6.5</v>
      </c>
      <c r="C7">
        <v>1</v>
      </c>
      <c r="D7">
        <v>55</v>
      </c>
      <c r="F7" t="s">
        <v>117</v>
      </c>
      <c r="G7" s="20" t="s">
        <v>84</v>
      </c>
      <c r="H7" s="33"/>
      <c r="I7" s="33"/>
      <c r="J7" s="24" t="s">
        <v>84</v>
      </c>
    </row>
    <row r="8" spans="1:10" x14ac:dyDescent="0.25">
      <c r="A8" t="s">
        <v>119</v>
      </c>
      <c r="B8" s="29">
        <v>7</v>
      </c>
      <c r="C8">
        <v>0.8</v>
      </c>
      <c r="D8">
        <v>60</v>
      </c>
      <c r="F8" t="s">
        <v>118</v>
      </c>
      <c r="G8" s="20" t="s">
        <v>84</v>
      </c>
      <c r="H8" s="33"/>
      <c r="I8" s="33"/>
      <c r="J8" s="24" t="s">
        <v>84</v>
      </c>
    </row>
    <row r="9" spans="1:10" x14ac:dyDescent="0.25">
      <c r="A9" t="s">
        <v>120</v>
      </c>
      <c r="B9" s="29">
        <v>7.5</v>
      </c>
      <c r="C9">
        <v>0.8</v>
      </c>
      <c r="D9">
        <v>75</v>
      </c>
      <c r="F9" t="s">
        <v>119</v>
      </c>
      <c r="G9" s="35"/>
      <c r="H9" s="23" t="s">
        <v>84</v>
      </c>
      <c r="I9" s="23" t="s">
        <v>84</v>
      </c>
      <c r="J9" s="34"/>
    </row>
    <row r="10" spans="1:10" x14ac:dyDescent="0.25">
      <c r="A10" t="s">
        <v>69</v>
      </c>
      <c r="B10" s="29">
        <v>10</v>
      </c>
      <c r="C10">
        <v>0.8</v>
      </c>
      <c r="D10">
        <v>90</v>
      </c>
      <c r="F10" t="s">
        <v>120</v>
      </c>
      <c r="G10" s="20" t="s">
        <v>84</v>
      </c>
      <c r="H10" s="33"/>
      <c r="I10" s="33"/>
      <c r="J10" s="24" t="s">
        <v>84</v>
      </c>
    </row>
    <row r="11" spans="1:10" x14ac:dyDescent="0.25">
      <c r="A11" t="s">
        <v>121</v>
      </c>
      <c r="B11" s="29">
        <v>10</v>
      </c>
      <c r="C11">
        <v>1.4</v>
      </c>
      <c r="D11">
        <v>50</v>
      </c>
      <c r="F11" t="s">
        <v>69</v>
      </c>
      <c r="G11" s="35"/>
      <c r="H11" s="23" t="s">
        <v>84</v>
      </c>
      <c r="I11" s="23" t="s">
        <v>84</v>
      </c>
      <c r="J11" s="24" t="s">
        <v>84</v>
      </c>
    </row>
    <row r="12" spans="1:10" x14ac:dyDescent="0.25">
      <c r="A12" t="s">
        <v>122</v>
      </c>
      <c r="B12" s="29">
        <v>15</v>
      </c>
      <c r="C12">
        <v>2</v>
      </c>
      <c r="D12">
        <v>70</v>
      </c>
      <c r="F12" t="s">
        <v>121</v>
      </c>
      <c r="G12" s="35"/>
      <c r="H12" s="23" t="s">
        <v>84</v>
      </c>
      <c r="I12" s="23" t="s">
        <v>84</v>
      </c>
      <c r="J12" s="34"/>
    </row>
    <row r="13" spans="1:10" x14ac:dyDescent="0.25">
      <c r="A13" t="s">
        <v>123</v>
      </c>
      <c r="B13" s="29">
        <v>20</v>
      </c>
      <c r="C13">
        <v>2.8</v>
      </c>
      <c r="D13">
        <v>100</v>
      </c>
      <c r="F13" t="s">
        <v>122</v>
      </c>
      <c r="G13" s="35"/>
      <c r="H13" s="23" t="s">
        <v>84</v>
      </c>
      <c r="I13" s="23" t="s">
        <v>84</v>
      </c>
      <c r="J13" s="34"/>
    </row>
    <row r="14" spans="1:10" x14ac:dyDescent="0.25">
      <c r="A14" t="s">
        <v>124</v>
      </c>
      <c r="B14" s="29">
        <v>20</v>
      </c>
      <c r="C14">
        <v>2</v>
      </c>
      <c r="D14">
        <v>80</v>
      </c>
      <c r="F14" t="s">
        <v>123</v>
      </c>
      <c r="G14" s="20" t="s">
        <v>84</v>
      </c>
      <c r="H14" s="33"/>
      <c r="I14" s="33"/>
      <c r="J14" s="24" t="s">
        <v>84</v>
      </c>
    </row>
    <row r="15" spans="1:10" x14ac:dyDescent="0.25">
      <c r="F15" t="s">
        <v>124</v>
      </c>
      <c r="G15" s="36"/>
      <c r="H15" s="27" t="s">
        <v>84</v>
      </c>
      <c r="I15" s="27" t="s">
        <v>84</v>
      </c>
      <c r="J15" s="37"/>
    </row>
    <row r="17" spans="1:10" x14ac:dyDescent="0.25">
      <c r="A17" s="6" t="s">
        <v>125</v>
      </c>
      <c r="B17" t="s">
        <v>126</v>
      </c>
      <c r="C17" t="s">
        <v>127</v>
      </c>
      <c r="D17" t="s">
        <v>79</v>
      </c>
    </row>
    <row r="18" spans="1:10" x14ac:dyDescent="0.25">
      <c r="A18" t="s">
        <v>128</v>
      </c>
      <c r="B18" s="29">
        <v>225</v>
      </c>
      <c r="C18">
        <v>0.6</v>
      </c>
      <c r="D18">
        <v>0</v>
      </c>
      <c r="G18" t="s">
        <v>61</v>
      </c>
      <c r="H18" t="s">
        <v>62</v>
      </c>
      <c r="I18" t="s">
        <v>63</v>
      </c>
      <c r="J18" t="s">
        <v>64</v>
      </c>
    </row>
    <row r="19" spans="1:10" x14ac:dyDescent="0.25">
      <c r="A19" t="s">
        <v>129</v>
      </c>
      <c r="B19" s="29">
        <v>450</v>
      </c>
      <c r="C19">
        <v>0.8</v>
      </c>
      <c r="D19">
        <v>50</v>
      </c>
      <c r="G19" t="s">
        <v>116</v>
      </c>
      <c r="H19" t="s">
        <v>114</v>
      </c>
      <c r="I19" t="s">
        <v>114</v>
      </c>
      <c r="J19" t="s">
        <v>117</v>
      </c>
    </row>
    <row r="20" spans="1:10" x14ac:dyDescent="0.25">
      <c r="A20" t="s">
        <v>130</v>
      </c>
      <c r="B20" s="29">
        <v>600</v>
      </c>
      <c r="C20">
        <v>0.8</v>
      </c>
      <c r="D20">
        <v>65</v>
      </c>
      <c r="G20" t="s">
        <v>117</v>
      </c>
      <c r="H20" t="s">
        <v>119</v>
      </c>
      <c r="I20" t="s">
        <v>119</v>
      </c>
      <c r="J20" t="s">
        <v>118</v>
      </c>
    </row>
    <row r="21" spans="1:10" x14ac:dyDescent="0.25">
      <c r="A21" t="s">
        <v>131</v>
      </c>
      <c r="B21" s="29">
        <v>650</v>
      </c>
      <c r="C21">
        <v>0.8</v>
      </c>
      <c r="D21">
        <v>70</v>
      </c>
      <c r="G21" t="s">
        <v>118</v>
      </c>
      <c r="H21" t="s">
        <v>69</v>
      </c>
      <c r="I21" t="s">
        <v>69</v>
      </c>
      <c r="J21" t="s">
        <v>120</v>
      </c>
    </row>
    <row r="22" spans="1:10" x14ac:dyDescent="0.25">
      <c r="A22" t="s">
        <v>132</v>
      </c>
      <c r="B22" s="29">
        <v>1050</v>
      </c>
      <c r="C22">
        <v>1</v>
      </c>
      <c r="D22">
        <v>100</v>
      </c>
      <c r="G22" t="s">
        <v>120</v>
      </c>
      <c r="H22" t="s">
        <v>121</v>
      </c>
      <c r="I22" t="s">
        <v>121</v>
      </c>
      <c r="J22" t="s">
        <v>69</v>
      </c>
    </row>
    <row r="23" spans="1:10" x14ac:dyDescent="0.25">
      <c r="G23" t="s">
        <v>123</v>
      </c>
      <c r="H23" t="s">
        <v>122</v>
      </c>
      <c r="I23" t="s">
        <v>122</v>
      </c>
      <c r="J23" t="s">
        <v>123</v>
      </c>
    </row>
    <row r="24" spans="1:10" x14ac:dyDescent="0.25">
      <c r="H24" t="s">
        <v>124</v>
      </c>
      <c r="I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F8E9C-8E0D-46D8-8A4C-6A954561D7C0}">
  <dimension ref="A1:I21"/>
  <sheetViews>
    <sheetView workbookViewId="0">
      <selection activeCell="C58" sqref="C58"/>
    </sheetView>
  </sheetViews>
  <sheetFormatPr defaultRowHeight="15" x14ac:dyDescent="0.25"/>
  <cols>
    <col min="1" max="1" width="29.85546875" customWidth="1"/>
    <col min="2" max="2" width="11.42578125" customWidth="1"/>
    <col min="3" max="3" width="35.140625" customWidth="1"/>
    <col min="4" max="4" width="13.140625" customWidth="1"/>
    <col min="6" max="6" width="36.140625" bestFit="1" customWidth="1"/>
    <col min="7" max="7" width="22.42578125" bestFit="1" customWidth="1"/>
    <col min="8" max="8" width="18.42578125" customWidth="1"/>
    <col min="9" max="9" width="22.42578125" bestFit="1" customWidth="1"/>
    <col min="10" max="10" width="11.85546875" customWidth="1"/>
  </cols>
  <sheetData>
    <row r="1" spans="1:9" ht="15.75" x14ac:dyDescent="0.25">
      <c r="A1" s="30" t="s">
        <v>133</v>
      </c>
    </row>
    <row r="3" spans="1:9" x14ac:dyDescent="0.25">
      <c r="A3" s="6" t="s">
        <v>134</v>
      </c>
      <c r="B3" t="s">
        <v>112</v>
      </c>
      <c r="C3" t="s">
        <v>78</v>
      </c>
      <c r="D3" t="s">
        <v>79</v>
      </c>
      <c r="F3" s="38" t="s">
        <v>135</v>
      </c>
    </row>
    <row r="4" spans="1:9" x14ac:dyDescent="0.25">
      <c r="A4" t="s">
        <v>44</v>
      </c>
      <c r="B4" s="29">
        <v>7</v>
      </c>
      <c r="C4">
        <v>1</v>
      </c>
      <c r="D4">
        <v>60</v>
      </c>
      <c r="G4" s="6" t="s">
        <v>136</v>
      </c>
    </row>
    <row r="5" spans="1:9" x14ac:dyDescent="0.25">
      <c r="A5" t="s">
        <v>47</v>
      </c>
      <c r="B5" s="29">
        <v>10</v>
      </c>
      <c r="C5">
        <v>1.2</v>
      </c>
      <c r="D5">
        <v>40</v>
      </c>
      <c r="F5" s="6" t="s">
        <v>80</v>
      </c>
      <c r="G5" t="s">
        <v>44</v>
      </c>
      <c r="H5" t="s">
        <v>47</v>
      </c>
      <c r="I5" t="s">
        <v>51</v>
      </c>
    </row>
    <row r="6" spans="1:9" x14ac:dyDescent="0.25">
      <c r="A6" t="s">
        <v>51</v>
      </c>
      <c r="B6" s="29">
        <v>25</v>
      </c>
      <c r="C6">
        <v>3</v>
      </c>
      <c r="D6">
        <v>70</v>
      </c>
      <c r="F6" t="s">
        <v>67</v>
      </c>
      <c r="G6" s="16" t="s">
        <v>84</v>
      </c>
      <c r="H6" s="17" t="s">
        <v>84</v>
      </c>
      <c r="I6" s="39" t="s">
        <v>84</v>
      </c>
    </row>
    <row r="7" spans="1:9" x14ac:dyDescent="0.25">
      <c r="F7" t="s">
        <v>68</v>
      </c>
      <c r="G7" s="22"/>
      <c r="H7" s="23" t="s">
        <v>84</v>
      </c>
      <c r="I7" s="21"/>
    </row>
    <row r="8" spans="1:9" x14ac:dyDescent="0.25">
      <c r="A8" s="6" t="s">
        <v>137</v>
      </c>
      <c r="B8" t="s">
        <v>112</v>
      </c>
      <c r="C8" t="s">
        <v>78</v>
      </c>
      <c r="D8" t="s">
        <v>79</v>
      </c>
      <c r="F8" t="s">
        <v>69</v>
      </c>
      <c r="G8" s="20" t="s">
        <v>84</v>
      </c>
      <c r="H8" s="23" t="s">
        <v>84</v>
      </c>
      <c r="I8" s="24" t="s">
        <v>84</v>
      </c>
    </row>
    <row r="9" spans="1:9" x14ac:dyDescent="0.25">
      <c r="A9" t="s">
        <v>67</v>
      </c>
      <c r="B9" s="29">
        <v>12</v>
      </c>
      <c r="C9">
        <v>1.4</v>
      </c>
      <c r="D9">
        <v>40</v>
      </c>
      <c r="F9" t="s">
        <v>70</v>
      </c>
      <c r="G9" s="20" t="s">
        <v>84</v>
      </c>
      <c r="I9" s="24" t="s">
        <v>84</v>
      </c>
    </row>
    <row r="10" spans="1:9" x14ac:dyDescent="0.25">
      <c r="A10" t="s">
        <v>68</v>
      </c>
      <c r="B10" s="29">
        <v>12</v>
      </c>
      <c r="C10">
        <v>4</v>
      </c>
      <c r="D10">
        <v>60</v>
      </c>
      <c r="F10" t="s">
        <v>72</v>
      </c>
      <c r="G10" s="22"/>
      <c r="H10" s="23" t="s">
        <v>84</v>
      </c>
      <c r="I10" s="21"/>
    </row>
    <row r="11" spans="1:9" x14ac:dyDescent="0.25">
      <c r="A11" t="s">
        <v>69</v>
      </c>
      <c r="B11" s="29">
        <v>15</v>
      </c>
      <c r="C11">
        <v>1.6</v>
      </c>
      <c r="D11">
        <v>50</v>
      </c>
      <c r="F11" t="s">
        <v>74</v>
      </c>
      <c r="G11" s="40" t="s">
        <v>84</v>
      </c>
      <c r="H11" s="26"/>
      <c r="I11" s="41" t="s">
        <v>84</v>
      </c>
    </row>
    <row r="12" spans="1:9" x14ac:dyDescent="0.25">
      <c r="A12" t="s">
        <v>70</v>
      </c>
      <c r="B12" s="29">
        <v>16</v>
      </c>
      <c r="C12">
        <v>2.8</v>
      </c>
      <c r="D12">
        <v>55</v>
      </c>
    </row>
    <row r="13" spans="1:9" x14ac:dyDescent="0.25">
      <c r="A13" t="s">
        <v>72</v>
      </c>
      <c r="B13" s="29">
        <v>25</v>
      </c>
      <c r="C13">
        <v>4</v>
      </c>
      <c r="D13">
        <v>65</v>
      </c>
    </row>
    <row r="14" spans="1:9" x14ac:dyDescent="0.25">
      <c r="A14" t="s">
        <v>74</v>
      </c>
      <c r="B14" s="29">
        <v>30</v>
      </c>
      <c r="C14">
        <v>1.4</v>
      </c>
      <c r="D14">
        <v>90</v>
      </c>
    </row>
    <row r="16" spans="1:9" x14ac:dyDescent="0.25">
      <c r="A16" s="6" t="s">
        <v>13</v>
      </c>
      <c r="B16" t="s">
        <v>112</v>
      </c>
      <c r="C16" t="s">
        <v>78</v>
      </c>
      <c r="D16" t="s">
        <v>79</v>
      </c>
    </row>
    <row r="17" spans="1:9" x14ac:dyDescent="0.25">
      <c r="A17" t="s">
        <v>61</v>
      </c>
      <c r="B17" s="29">
        <v>6</v>
      </c>
      <c r="C17">
        <v>0.6</v>
      </c>
      <c r="D17">
        <v>50</v>
      </c>
      <c r="G17" t="s">
        <v>44</v>
      </c>
      <c r="H17" t="s">
        <v>47</v>
      </c>
      <c r="I17" t="s">
        <v>51</v>
      </c>
    </row>
    <row r="18" spans="1:9" x14ac:dyDescent="0.25">
      <c r="A18" t="s">
        <v>62</v>
      </c>
      <c r="B18" s="29">
        <v>7</v>
      </c>
      <c r="C18">
        <v>1</v>
      </c>
      <c r="D18">
        <v>60</v>
      </c>
      <c r="G18" t="s">
        <v>67</v>
      </c>
      <c r="H18" t="s">
        <v>67</v>
      </c>
      <c r="I18" t="s">
        <v>67</v>
      </c>
    </row>
    <row r="19" spans="1:9" x14ac:dyDescent="0.25">
      <c r="A19" t="s">
        <v>63</v>
      </c>
      <c r="B19" s="29">
        <v>9</v>
      </c>
      <c r="C19">
        <v>1.2</v>
      </c>
      <c r="D19">
        <v>70</v>
      </c>
      <c r="G19" t="s">
        <v>69</v>
      </c>
      <c r="H19" t="s">
        <v>68</v>
      </c>
      <c r="I19" t="s">
        <v>69</v>
      </c>
    </row>
    <row r="20" spans="1:9" x14ac:dyDescent="0.25">
      <c r="A20" t="s">
        <v>64</v>
      </c>
      <c r="B20" s="29">
        <v>15</v>
      </c>
      <c r="C20">
        <v>1.2</v>
      </c>
      <c r="D20">
        <v>80</v>
      </c>
      <c r="G20" t="s">
        <v>70</v>
      </c>
      <c r="H20" t="s">
        <v>69</v>
      </c>
      <c r="I20" t="s">
        <v>70</v>
      </c>
    </row>
    <row r="21" spans="1:9" x14ac:dyDescent="0.25">
      <c r="G21" t="s">
        <v>74</v>
      </c>
      <c r="H21" t="s">
        <v>72</v>
      </c>
      <c r="I21" t="s">
        <v>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14258-04E7-451C-9C1D-662F2B05A75C}">
  <dimension ref="A1:N73"/>
  <sheetViews>
    <sheetView workbookViewId="0">
      <selection activeCell="L21" sqref="L21"/>
    </sheetView>
  </sheetViews>
  <sheetFormatPr defaultRowHeight="15" x14ac:dyDescent="0.25"/>
  <cols>
    <col min="1" max="1" width="14.28515625" bestFit="1" customWidth="1"/>
    <col min="2" max="2" width="35.5703125" bestFit="1" customWidth="1"/>
    <col min="3" max="3" width="26.5703125" customWidth="1"/>
    <col min="4" max="4" width="9.85546875" bestFit="1" customWidth="1"/>
    <col min="5" max="5" width="11" bestFit="1" customWidth="1"/>
    <col min="6" max="6" width="17.140625" bestFit="1" customWidth="1"/>
    <col min="10" max="10" width="21.5703125" bestFit="1" customWidth="1"/>
    <col min="11" max="11" width="28.42578125" customWidth="1"/>
  </cols>
  <sheetData>
    <row r="1" spans="1:14" x14ac:dyDescent="0.25">
      <c r="A1" s="10" t="s">
        <v>138</v>
      </c>
      <c r="C1" s="10" t="s">
        <v>139</v>
      </c>
    </row>
    <row r="2" spans="1:14" x14ac:dyDescent="0.25">
      <c r="A2" t="s">
        <v>140</v>
      </c>
      <c r="B2">
        <v>1</v>
      </c>
      <c r="C2">
        <v>0.5</v>
      </c>
    </row>
    <row r="3" spans="1:14" x14ac:dyDescent="0.25">
      <c r="A3" t="s">
        <v>141</v>
      </c>
      <c r="B3">
        <v>2</v>
      </c>
      <c r="C3">
        <v>0.5</v>
      </c>
      <c r="F3" s="42"/>
      <c r="I3" s="42" t="s">
        <v>0</v>
      </c>
      <c r="J3" s="6" t="s">
        <v>134</v>
      </c>
      <c r="K3" s="12">
        <f>VLOOKUP('Cell Links'!$F$4,'Phase 1'!$A$4:$D$6,3,FALSE)</f>
        <v>1.2</v>
      </c>
    </row>
    <row r="4" spans="1:14" x14ac:dyDescent="0.25">
      <c r="A4" t="s">
        <v>142</v>
      </c>
      <c r="B4">
        <v>3</v>
      </c>
      <c r="C4">
        <v>0.75</v>
      </c>
      <c r="J4" s="6" t="s">
        <v>137</v>
      </c>
      <c r="K4" s="12">
        <f ca="1">VLOOKUP('Cell Links'!$F$5,'Phase 1'!$A$9:$D$14,3,FALSE)</f>
        <v>1.6</v>
      </c>
    </row>
    <row r="5" spans="1:14" x14ac:dyDescent="0.25">
      <c r="A5" t="s">
        <v>143</v>
      </c>
      <c r="B5">
        <v>4</v>
      </c>
      <c r="C5">
        <v>1</v>
      </c>
      <c r="F5" s="13" cm="1">
        <f t="array" aca="1" ref="F5:F28" ca="1">_xlfn._xlws.SORT(Sheet2!E6:E29,,1)</f>
        <v>46235</v>
      </c>
      <c r="J5" s="6" t="s">
        <v>13</v>
      </c>
      <c r="K5" s="12">
        <f>VLOOKUP('Cell Links'!$F$6,'Phase 1'!$A$17:$D$20,3,FALSE)</f>
        <v>1</v>
      </c>
    </row>
    <row r="6" spans="1:14" x14ac:dyDescent="0.25">
      <c r="A6" t="s">
        <v>144</v>
      </c>
      <c r="B6">
        <v>5</v>
      </c>
      <c r="C6">
        <v>1</v>
      </c>
      <c r="F6" s="13">
        <f ca="1"/>
        <v>46249</v>
      </c>
      <c r="I6" s="42" t="s">
        <v>19</v>
      </c>
      <c r="J6" s="6" t="s">
        <v>111</v>
      </c>
      <c r="K6" s="12">
        <f>VLOOKUP('Cell Links'!$F$8,'Phase 2'!$A$4:$D$14,3,FALSE)</f>
        <v>2</v>
      </c>
    </row>
    <row r="7" spans="1:14" x14ac:dyDescent="0.25">
      <c r="A7" t="s">
        <v>145</v>
      </c>
      <c r="B7">
        <v>6</v>
      </c>
      <c r="C7">
        <v>1</v>
      </c>
      <c r="F7" s="13">
        <f ca="1"/>
        <v>46266</v>
      </c>
      <c r="J7" s="6" t="s">
        <v>125</v>
      </c>
      <c r="K7" s="12">
        <f>VLOOKUP('Cell Links'!$F$10,'Phase 2'!$A$18:$D$22,3,FALSE)*'Cell Links'!C9</f>
        <v>9.6000000000000014</v>
      </c>
    </row>
    <row r="8" spans="1:14" x14ac:dyDescent="0.25">
      <c r="A8" t="s">
        <v>146</v>
      </c>
      <c r="B8">
        <v>7</v>
      </c>
      <c r="C8">
        <v>0.75</v>
      </c>
      <c r="F8" s="13">
        <f ca="1"/>
        <v>46280</v>
      </c>
      <c r="I8" s="42" t="s">
        <v>1</v>
      </c>
      <c r="J8" s="6" t="s">
        <v>76</v>
      </c>
      <c r="K8" s="12">
        <f ca="1">VLOOKUP('Cell Links'!$F$11,'Phase 3'!$A$4:$D$10,3,FALSE)</f>
        <v>4</v>
      </c>
    </row>
    <row r="9" spans="1:14" x14ac:dyDescent="0.25">
      <c r="A9" t="s">
        <v>147</v>
      </c>
      <c r="B9">
        <v>8</v>
      </c>
      <c r="C9">
        <v>0.75</v>
      </c>
      <c r="F9" s="13">
        <f ca="1"/>
        <v>46296</v>
      </c>
      <c r="J9" s="6" t="s">
        <v>148</v>
      </c>
      <c r="K9" s="12">
        <f>SUM(L9:M9)</f>
        <v>2</v>
      </c>
      <c r="L9">
        <f>VLOOKUP('Cell Links'!F12,'Phase 3'!A15:D21,4,)</f>
        <v>1.4</v>
      </c>
      <c r="M9">
        <f>_xlfn.IFNA(N9,0)</f>
        <v>0.6</v>
      </c>
      <c r="N9">
        <f>VLOOKUP('Cell Links'!F13,'Phase 3'!A15:E21,4,FALSE)</f>
        <v>0.6</v>
      </c>
    </row>
    <row r="10" spans="1:14" x14ac:dyDescent="0.25">
      <c r="A10" t="s">
        <v>149</v>
      </c>
      <c r="B10">
        <v>9</v>
      </c>
      <c r="C10">
        <v>1</v>
      </c>
      <c r="F10" s="13">
        <f ca="1"/>
        <v>46310</v>
      </c>
      <c r="J10" s="6" t="s">
        <v>150</v>
      </c>
      <c r="K10" s="12">
        <f>VLOOKUP('Cell Links'!$F$14,'Phase 3'!$A$25:$E$28,4,FALSE)</f>
        <v>0.8</v>
      </c>
    </row>
    <row r="11" spans="1:14" x14ac:dyDescent="0.25">
      <c r="A11" t="s">
        <v>151</v>
      </c>
      <c r="B11">
        <v>10</v>
      </c>
      <c r="C11">
        <v>1</v>
      </c>
      <c r="F11" s="13">
        <f ca="1"/>
        <v>46327</v>
      </c>
      <c r="J11" s="6" t="s">
        <v>152</v>
      </c>
      <c r="K11" s="12">
        <f>VLOOKUP('Cell Links'!$F$15,'Phase 3'!$A$32:$E$34,4,FALSE)</f>
        <v>1.4</v>
      </c>
    </row>
    <row r="12" spans="1:14" x14ac:dyDescent="0.25">
      <c r="A12" t="s">
        <v>153</v>
      </c>
      <c r="B12">
        <v>11</v>
      </c>
      <c r="C12">
        <v>0.75</v>
      </c>
      <c r="F12" s="13">
        <f ca="1"/>
        <v>46341</v>
      </c>
    </row>
    <row r="13" spans="1:14" x14ac:dyDescent="0.25">
      <c r="A13" t="s">
        <v>154</v>
      </c>
      <c r="B13">
        <v>12</v>
      </c>
      <c r="C13">
        <v>0.5</v>
      </c>
      <c r="F13" s="13">
        <f ca="1"/>
        <v>46357</v>
      </c>
      <c r="J13" s="6" t="s">
        <v>155</v>
      </c>
      <c r="K13" s="44">
        <f ca="1">IFERROR(_xlfn.IFNA(SUM(K3:K11),""),"")</f>
        <v>23.6</v>
      </c>
    </row>
    <row r="14" spans="1:14" x14ac:dyDescent="0.25">
      <c r="F14" s="13">
        <f ca="1"/>
        <v>46371</v>
      </c>
    </row>
    <row r="15" spans="1:14" x14ac:dyDescent="0.25">
      <c r="F15" s="13">
        <f ca="1"/>
        <v>46388</v>
      </c>
    </row>
    <row r="16" spans="1:14" x14ac:dyDescent="0.25">
      <c r="F16" s="13">
        <f ca="1"/>
        <v>46402</v>
      </c>
    </row>
    <row r="17" spans="1:6" x14ac:dyDescent="0.25">
      <c r="B17" t="s">
        <v>156</v>
      </c>
      <c r="C17" s="13" cm="1">
        <f t="array" aca="1" ref="C17" ca="1">INDEX(_xlfn.ANCHORARRAY(Sheet2!H5),'Cell Links'!C3)</f>
        <v>46266</v>
      </c>
      <c r="E17" t="s">
        <v>157</v>
      </c>
      <c r="F17" s="13">
        <f ca="1"/>
        <v>46419</v>
      </c>
    </row>
    <row r="18" spans="1:6" x14ac:dyDescent="0.25">
      <c r="B18" t="s">
        <v>158</v>
      </c>
      <c r="C18">
        <f ca="1">'Front-End'!B21</f>
        <v>23.6</v>
      </c>
      <c r="E18">
        <v>7</v>
      </c>
      <c r="F18" s="13">
        <f ca="1"/>
        <v>46433</v>
      </c>
    </row>
    <row r="19" spans="1:6" x14ac:dyDescent="0.25">
      <c r="E19" t="s">
        <v>159</v>
      </c>
      <c r="F19" s="13">
        <f ca="1"/>
        <v>46447</v>
      </c>
    </row>
    <row r="20" spans="1:6" x14ac:dyDescent="0.25">
      <c r="B20" t="s">
        <v>160</v>
      </c>
      <c r="C20">
        <f ca="1">MATCH(C17,_xlfn.ANCHORARRAY(F5),0)</f>
        <v>3</v>
      </c>
      <c r="D20" s="13">
        <f ca="1">C17</f>
        <v>46266</v>
      </c>
      <c r="E20">
        <f ca="1">VLOOKUP(MONTH(D20),$B$2:$C$13,2,FALSE)</f>
        <v>1</v>
      </c>
      <c r="F20" s="13">
        <f ca="1"/>
        <v>46461</v>
      </c>
    </row>
    <row r="21" spans="1:6" x14ac:dyDescent="0.25">
      <c r="B21" t="s">
        <v>161</v>
      </c>
      <c r="C21" t="s">
        <v>162</v>
      </c>
      <c r="D21" s="13">
        <f ca="1">$C$17+E18</f>
        <v>46273</v>
      </c>
      <c r="E21">
        <f ca="1">VLOOKUP(MONTH(D21),$B$2:$C$13,2,FALSE)</f>
        <v>1</v>
      </c>
      <c r="F21" s="13">
        <f ca="1"/>
        <v>46478</v>
      </c>
    </row>
    <row r="22" spans="1:6" x14ac:dyDescent="0.25">
      <c r="B22" t="s">
        <v>163</v>
      </c>
      <c r="C22">
        <f ca="1">IFERROR(E18*MATCH(C18,B23:B73,A27)+E18,"")</f>
        <v>231</v>
      </c>
      <c r="D22" s="13">
        <f t="shared" ref="D22:D71" ca="1" si="0">D21+$E$18</f>
        <v>46280</v>
      </c>
      <c r="E22">
        <f t="shared" ref="E22:E71" ca="1" si="1">VLOOKUP(MONTH(D22),$B$2:$C$13,2,FALSE)</f>
        <v>1</v>
      </c>
      <c r="F22" s="13">
        <f ca="1"/>
        <v>46492</v>
      </c>
    </row>
    <row r="23" spans="1:6" x14ac:dyDescent="0.25">
      <c r="B23">
        <f ca="1">E20</f>
        <v>1</v>
      </c>
      <c r="D23" s="13">
        <f t="shared" ca="1" si="0"/>
        <v>46287</v>
      </c>
      <c r="E23">
        <f t="shared" ca="1" si="1"/>
        <v>1</v>
      </c>
      <c r="F23" s="13">
        <f ca="1"/>
        <v>46508</v>
      </c>
    </row>
    <row r="24" spans="1:6" x14ac:dyDescent="0.25">
      <c r="B24">
        <f ca="1">B23+E21</f>
        <v>2</v>
      </c>
      <c r="C24" s="43"/>
      <c r="D24" s="13">
        <f t="shared" ca="1" si="0"/>
        <v>46294</v>
      </c>
      <c r="E24">
        <f t="shared" ca="1" si="1"/>
        <v>1</v>
      </c>
      <c r="F24" s="13">
        <f ca="1"/>
        <v>46522</v>
      </c>
    </row>
    <row r="25" spans="1:6" x14ac:dyDescent="0.25">
      <c r="B25">
        <f t="shared" ref="B25:B73" ca="1" si="2">B24+E22</f>
        <v>3</v>
      </c>
      <c r="C25" t="s">
        <v>164</v>
      </c>
      <c r="D25" s="13">
        <f t="shared" ca="1" si="0"/>
        <v>46301</v>
      </c>
      <c r="E25">
        <f t="shared" ca="1" si="1"/>
        <v>1</v>
      </c>
      <c r="F25" s="13">
        <f ca="1"/>
        <v>46539</v>
      </c>
    </row>
    <row r="26" spans="1:6" x14ac:dyDescent="0.25">
      <c r="A26" t="s">
        <v>165</v>
      </c>
      <c r="B26">
        <f t="shared" ca="1" si="2"/>
        <v>4</v>
      </c>
      <c r="C26" s="45">
        <f ca="1">IFERROR(C22+'Cell Links'!F3,"")</f>
        <v>46497</v>
      </c>
      <c r="D26" s="13">
        <f t="shared" ca="1" si="0"/>
        <v>46308</v>
      </c>
      <c r="E26">
        <f t="shared" ca="1" si="1"/>
        <v>1</v>
      </c>
      <c r="F26" s="13">
        <f ca="1"/>
        <v>46553</v>
      </c>
    </row>
    <row r="27" spans="1:6" x14ac:dyDescent="0.25">
      <c r="A27">
        <v>1</v>
      </c>
      <c r="B27">
        <f t="shared" ca="1" si="2"/>
        <v>5</v>
      </c>
      <c r="D27" s="13">
        <f t="shared" ca="1" si="0"/>
        <v>46315</v>
      </c>
      <c r="E27">
        <f t="shared" ca="1" si="1"/>
        <v>1</v>
      </c>
      <c r="F27" s="13">
        <f ca="1"/>
        <v>46569</v>
      </c>
    </row>
    <row r="28" spans="1:6" x14ac:dyDescent="0.25">
      <c r="B28">
        <f t="shared" ca="1" si="2"/>
        <v>6</v>
      </c>
      <c r="D28" s="13">
        <f t="shared" ca="1" si="0"/>
        <v>46322</v>
      </c>
      <c r="E28">
        <f t="shared" ca="1" si="1"/>
        <v>1</v>
      </c>
      <c r="F28" s="13">
        <f ca="1"/>
        <v>46583</v>
      </c>
    </row>
    <row r="29" spans="1:6" x14ac:dyDescent="0.25">
      <c r="B29">
        <f t="shared" ca="1" si="2"/>
        <v>7</v>
      </c>
      <c r="D29" s="13">
        <f t="shared" ca="1" si="0"/>
        <v>46329</v>
      </c>
      <c r="E29">
        <f t="shared" ca="1" si="1"/>
        <v>0.75</v>
      </c>
      <c r="F29" s="13"/>
    </row>
    <row r="30" spans="1:6" x14ac:dyDescent="0.25">
      <c r="B30">
        <f t="shared" ca="1" si="2"/>
        <v>8</v>
      </c>
      <c r="D30" s="13">
        <f t="shared" ca="1" si="0"/>
        <v>46336</v>
      </c>
      <c r="E30">
        <f t="shared" ca="1" si="1"/>
        <v>0.75</v>
      </c>
      <c r="F30" s="13"/>
    </row>
    <row r="31" spans="1:6" x14ac:dyDescent="0.25">
      <c r="A31">
        <f ca="1">COUNT(B23:B60)*7</f>
        <v>266</v>
      </c>
      <c r="B31">
        <f t="shared" ca="1" si="2"/>
        <v>9</v>
      </c>
      <c r="D31" s="13">
        <f t="shared" ca="1" si="0"/>
        <v>46343</v>
      </c>
      <c r="E31">
        <f t="shared" ca="1" si="1"/>
        <v>0.75</v>
      </c>
      <c r="F31" s="13"/>
    </row>
    <row r="32" spans="1:6" x14ac:dyDescent="0.25">
      <c r="B32">
        <f t="shared" ca="1" si="2"/>
        <v>9.75</v>
      </c>
      <c r="D32" s="13">
        <f t="shared" ca="1" si="0"/>
        <v>46350</v>
      </c>
      <c r="E32">
        <f t="shared" ca="1" si="1"/>
        <v>0.75</v>
      </c>
      <c r="F32" s="13"/>
    </row>
    <row r="33" spans="2:6" x14ac:dyDescent="0.25">
      <c r="B33">
        <f t="shared" ca="1" si="2"/>
        <v>10.5</v>
      </c>
      <c r="D33" s="13">
        <f t="shared" ca="1" si="0"/>
        <v>46357</v>
      </c>
      <c r="E33">
        <f t="shared" ca="1" si="1"/>
        <v>0.5</v>
      </c>
      <c r="F33" s="13"/>
    </row>
    <row r="34" spans="2:6" x14ac:dyDescent="0.25">
      <c r="B34">
        <f t="shared" ca="1" si="2"/>
        <v>11.25</v>
      </c>
      <c r="D34" s="13">
        <f t="shared" ca="1" si="0"/>
        <v>46364</v>
      </c>
      <c r="E34">
        <f t="shared" ca="1" si="1"/>
        <v>0.5</v>
      </c>
      <c r="F34" s="13"/>
    </row>
    <row r="35" spans="2:6" x14ac:dyDescent="0.25">
      <c r="B35">
        <f t="shared" ca="1" si="2"/>
        <v>12</v>
      </c>
      <c r="D35" s="13">
        <f t="shared" ca="1" si="0"/>
        <v>46371</v>
      </c>
      <c r="E35">
        <f t="shared" ca="1" si="1"/>
        <v>0.5</v>
      </c>
      <c r="F35" s="13"/>
    </row>
    <row r="36" spans="2:6" x14ac:dyDescent="0.25">
      <c r="B36">
        <f t="shared" ca="1" si="2"/>
        <v>12.5</v>
      </c>
      <c r="D36" s="13">
        <f t="shared" ca="1" si="0"/>
        <v>46378</v>
      </c>
      <c r="E36">
        <f t="shared" ca="1" si="1"/>
        <v>0.5</v>
      </c>
      <c r="F36" s="13"/>
    </row>
    <row r="37" spans="2:6" x14ac:dyDescent="0.25">
      <c r="B37">
        <f t="shared" ca="1" si="2"/>
        <v>13</v>
      </c>
      <c r="D37" s="13">
        <f t="shared" ca="1" si="0"/>
        <v>46385</v>
      </c>
      <c r="E37">
        <f t="shared" ca="1" si="1"/>
        <v>0.5</v>
      </c>
      <c r="F37" s="13"/>
    </row>
    <row r="38" spans="2:6" x14ac:dyDescent="0.25">
      <c r="B38">
        <f t="shared" ca="1" si="2"/>
        <v>13.5</v>
      </c>
      <c r="D38" s="13">
        <f t="shared" ca="1" si="0"/>
        <v>46392</v>
      </c>
      <c r="E38">
        <f t="shared" ca="1" si="1"/>
        <v>0.5</v>
      </c>
      <c r="F38" s="13"/>
    </row>
    <row r="39" spans="2:6" x14ac:dyDescent="0.25">
      <c r="B39">
        <f t="shared" ca="1" si="2"/>
        <v>14</v>
      </c>
      <c r="D39" s="13">
        <f t="shared" ca="1" si="0"/>
        <v>46399</v>
      </c>
      <c r="E39">
        <f t="shared" ca="1" si="1"/>
        <v>0.5</v>
      </c>
      <c r="F39" s="13"/>
    </row>
    <row r="40" spans="2:6" x14ac:dyDescent="0.25">
      <c r="B40">
        <f t="shared" ca="1" si="2"/>
        <v>14.5</v>
      </c>
      <c r="D40" s="13">
        <f t="shared" ca="1" si="0"/>
        <v>46406</v>
      </c>
      <c r="E40">
        <f t="shared" ca="1" si="1"/>
        <v>0.5</v>
      </c>
      <c r="F40" s="13"/>
    </row>
    <row r="41" spans="2:6" x14ac:dyDescent="0.25">
      <c r="B41">
        <f t="shared" ca="1" si="2"/>
        <v>15</v>
      </c>
      <c r="D41" s="13">
        <f t="shared" ca="1" si="0"/>
        <v>46413</v>
      </c>
      <c r="E41">
        <f t="shared" ca="1" si="1"/>
        <v>0.5</v>
      </c>
    </row>
    <row r="42" spans="2:6" x14ac:dyDescent="0.25">
      <c r="B42">
        <f t="shared" ca="1" si="2"/>
        <v>15.5</v>
      </c>
      <c r="D42" s="13">
        <f t="shared" ca="1" si="0"/>
        <v>46420</v>
      </c>
      <c r="E42">
        <f t="shared" ca="1" si="1"/>
        <v>0.5</v>
      </c>
    </row>
    <row r="43" spans="2:6" x14ac:dyDescent="0.25">
      <c r="B43">
        <f t="shared" ca="1" si="2"/>
        <v>16</v>
      </c>
      <c r="D43" s="13">
        <f t="shared" ca="1" si="0"/>
        <v>46427</v>
      </c>
      <c r="E43">
        <f t="shared" ca="1" si="1"/>
        <v>0.5</v>
      </c>
    </row>
    <row r="44" spans="2:6" x14ac:dyDescent="0.25">
      <c r="B44">
        <f t="shared" ca="1" si="2"/>
        <v>16.5</v>
      </c>
      <c r="D44" s="13">
        <f t="shared" ca="1" si="0"/>
        <v>46434</v>
      </c>
      <c r="E44">
        <f t="shared" ca="1" si="1"/>
        <v>0.5</v>
      </c>
    </row>
    <row r="45" spans="2:6" x14ac:dyDescent="0.25">
      <c r="B45">
        <f t="shared" ca="1" si="2"/>
        <v>17</v>
      </c>
      <c r="D45" s="13">
        <f t="shared" ca="1" si="0"/>
        <v>46441</v>
      </c>
      <c r="E45">
        <f t="shared" ca="1" si="1"/>
        <v>0.5</v>
      </c>
    </row>
    <row r="46" spans="2:6" x14ac:dyDescent="0.25">
      <c r="B46">
        <f t="shared" ca="1" si="2"/>
        <v>17.5</v>
      </c>
      <c r="D46" s="13">
        <f t="shared" ca="1" si="0"/>
        <v>46448</v>
      </c>
      <c r="E46">
        <f t="shared" ca="1" si="1"/>
        <v>0.75</v>
      </c>
    </row>
    <row r="47" spans="2:6" x14ac:dyDescent="0.25">
      <c r="B47">
        <f t="shared" ca="1" si="2"/>
        <v>18</v>
      </c>
      <c r="D47" s="13">
        <f t="shared" ca="1" si="0"/>
        <v>46455</v>
      </c>
      <c r="E47">
        <f t="shared" ca="1" si="1"/>
        <v>0.75</v>
      </c>
    </row>
    <row r="48" spans="2:6" x14ac:dyDescent="0.25">
      <c r="B48">
        <f t="shared" ca="1" si="2"/>
        <v>18.5</v>
      </c>
      <c r="D48" s="13">
        <f t="shared" ca="1" si="0"/>
        <v>46462</v>
      </c>
      <c r="E48">
        <f t="shared" ca="1" si="1"/>
        <v>0.75</v>
      </c>
    </row>
    <row r="49" spans="2:5" x14ac:dyDescent="0.25">
      <c r="B49">
        <f t="shared" ca="1" si="2"/>
        <v>19.25</v>
      </c>
      <c r="D49" s="13">
        <f t="shared" ca="1" si="0"/>
        <v>46469</v>
      </c>
      <c r="E49">
        <f t="shared" ca="1" si="1"/>
        <v>0.75</v>
      </c>
    </row>
    <row r="50" spans="2:5" x14ac:dyDescent="0.25">
      <c r="B50">
        <f t="shared" ca="1" si="2"/>
        <v>20</v>
      </c>
      <c r="D50" s="13">
        <f t="shared" ca="1" si="0"/>
        <v>46476</v>
      </c>
      <c r="E50">
        <f t="shared" ca="1" si="1"/>
        <v>0.75</v>
      </c>
    </row>
    <row r="51" spans="2:5" x14ac:dyDescent="0.25">
      <c r="B51">
        <f t="shared" ca="1" si="2"/>
        <v>20.75</v>
      </c>
      <c r="D51" s="13">
        <f t="shared" ca="1" si="0"/>
        <v>46483</v>
      </c>
      <c r="E51">
        <f t="shared" ca="1" si="1"/>
        <v>1</v>
      </c>
    </row>
    <row r="52" spans="2:5" x14ac:dyDescent="0.25">
      <c r="B52">
        <f t="shared" ca="1" si="2"/>
        <v>21.5</v>
      </c>
      <c r="D52" s="13">
        <f t="shared" ca="1" si="0"/>
        <v>46490</v>
      </c>
      <c r="E52">
        <f t="shared" ca="1" si="1"/>
        <v>1</v>
      </c>
    </row>
    <row r="53" spans="2:5" x14ac:dyDescent="0.25">
      <c r="B53">
        <f t="shared" ca="1" si="2"/>
        <v>22.25</v>
      </c>
      <c r="D53" s="13">
        <f t="shared" ca="1" si="0"/>
        <v>46497</v>
      </c>
      <c r="E53">
        <f t="shared" ca="1" si="1"/>
        <v>1</v>
      </c>
    </row>
    <row r="54" spans="2:5" x14ac:dyDescent="0.25">
      <c r="B54">
        <f t="shared" ca="1" si="2"/>
        <v>23.25</v>
      </c>
      <c r="D54" s="13">
        <f t="shared" ca="1" si="0"/>
        <v>46504</v>
      </c>
      <c r="E54">
        <f t="shared" ca="1" si="1"/>
        <v>1</v>
      </c>
    </row>
    <row r="55" spans="2:5" x14ac:dyDescent="0.25">
      <c r="B55">
        <f t="shared" ca="1" si="2"/>
        <v>24.25</v>
      </c>
      <c r="D55" s="13">
        <f t="shared" ca="1" si="0"/>
        <v>46511</v>
      </c>
      <c r="E55">
        <f t="shared" ca="1" si="1"/>
        <v>1</v>
      </c>
    </row>
    <row r="56" spans="2:5" x14ac:dyDescent="0.25">
      <c r="B56">
        <f t="shared" ca="1" si="2"/>
        <v>25.25</v>
      </c>
      <c r="D56" s="13">
        <f t="shared" ca="1" si="0"/>
        <v>46518</v>
      </c>
      <c r="E56">
        <f t="shared" ca="1" si="1"/>
        <v>1</v>
      </c>
    </row>
    <row r="57" spans="2:5" x14ac:dyDescent="0.25">
      <c r="B57">
        <f t="shared" ca="1" si="2"/>
        <v>26.25</v>
      </c>
      <c r="D57" s="13">
        <f t="shared" ca="1" si="0"/>
        <v>46525</v>
      </c>
      <c r="E57">
        <f t="shared" ca="1" si="1"/>
        <v>1</v>
      </c>
    </row>
    <row r="58" spans="2:5" x14ac:dyDescent="0.25">
      <c r="B58">
        <f t="shared" ca="1" si="2"/>
        <v>27.25</v>
      </c>
      <c r="D58" s="13">
        <f t="shared" ca="1" si="0"/>
        <v>46532</v>
      </c>
      <c r="E58">
        <f t="shared" ca="1" si="1"/>
        <v>1</v>
      </c>
    </row>
    <row r="59" spans="2:5" x14ac:dyDescent="0.25">
      <c r="B59">
        <f t="shared" ca="1" si="2"/>
        <v>28.25</v>
      </c>
      <c r="D59" s="13">
        <f t="shared" ca="1" si="0"/>
        <v>46539</v>
      </c>
      <c r="E59">
        <f t="shared" ca="1" si="1"/>
        <v>1</v>
      </c>
    </row>
    <row r="60" spans="2:5" x14ac:dyDescent="0.25">
      <c r="B60">
        <f t="shared" ca="1" si="2"/>
        <v>29.25</v>
      </c>
      <c r="D60" s="13">
        <f t="shared" ca="1" si="0"/>
        <v>46546</v>
      </c>
      <c r="E60">
        <f t="shared" ca="1" si="1"/>
        <v>1</v>
      </c>
    </row>
    <row r="61" spans="2:5" x14ac:dyDescent="0.25">
      <c r="B61">
        <f t="shared" ca="1" si="2"/>
        <v>30.25</v>
      </c>
      <c r="D61" s="13">
        <f t="shared" ca="1" si="0"/>
        <v>46553</v>
      </c>
      <c r="E61">
        <f t="shared" ca="1" si="1"/>
        <v>1</v>
      </c>
    </row>
    <row r="62" spans="2:5" x14ac:dyDescent="0.25">
      <c r="B62">
        <f t="shared" ca="1" si="2"/>
        <v>31.25</v>
      </c>
      <c r="D62" s="13">
        <f t="shared" ca="1" si="0"/>
        <v>46560</v>
      </c>
      <c r="E62">
        <f t="shared" ca="1" si="1"/>
        <v>1</v>
      </c>
    </row>
    <row r="63" spans="2:5" x14ac:dyDescent="0.25">
      <c r="B63">
        <f t="shared" ca="1" si="2"/>
        <v>32.25</v>
      </c>
      <c r="D63" s="13">
        <f t="shared" ca="1" si="0"/>
        <v>46567</v>
      </c>
      <c r="E63">
        <f t="shared" ca="1" si="1"/>
        <v>1</v>
      </c>
    </row>
    <row r="64" spans="2:5" x14ac:dyDescent="0.25">
      <c r="B64">
        <f t="shared" ca="1" si="2"/>
        <v>33.25</v>
      </c>
      <c r="D64" s="13">
        <f t="shared" ca="1" si="0"/>
        <v>46574</v>
      </c>
      <c r="E64">
        <f t="shared" ca="1" si="1"/>
        <v>0.75</v>
      </c>
    </row>
    <row r="65" spans="2:5" x14ac:dyDescent="0.25">
      <c r="B65">
        <f t="shared" ca="1" si="2"/>
        <v>34.25</v>
      </c>
      <c r="D65" s="13">
        <f t="shared" ca="1" si="0"/>
        <v>46581</v>
      </c>
      <c r="E65">
        <f t="shared" ca="1" si="1"/>
        <v>0.75</v>
      </c>
    </row>
    <row r="66" spans="2:5" x14ac:dyDescent="0.25">
      <c r="B66">
        <f t="shared" ca="1" si="2"/>
        <v>35.25</v>
      </c>
      <c r="D66" s="13">
        <f t="shared" ca="1" si="0"/>
        <v>46588</v>
      </c>
      <c r="E66">
        <f t="shared" ca="1" si="1"/>
        <v>0.75</v>
      </c>
    </row>
    <row r="67" spans="2:5" x14ac:dyDescent="0.25">
      <c r="B67">
        <f t="shared" ca="1" si="2"/>
        <v>36</v>
      </c>
      <c r="D67" s="13">
        <f t="shared" ca="1" si="0"/>
        <v>46595</v>
      </c>
      <c r="E67">
        <f t="shared" ca="1" si="1"/>
        <v>0.75</v>
      </c>
    </row>
    <row r="68" spans="2:5" x14ac:dyDescent="0.25">
      <c r="B68">
        <f t="shared" ca="1" si="2"/>
        <v>36.75</v>
      </c>
      <c r="D68" s="13">
        <f t="shared" ca="1" si="0"/>
        <v>46602</v>
      </c>
      <c r="E68">
        <f t="shared" ca="1" si="1"/>
        <v>0.75</v>
      </c>
    </row>
    <row r="69" spans="2:5" x14ac:dyDescent="0.25">
      <c r="B69">
        <f t="shared" ca="1" si="2"/>
        <v>37.5</v>
      </c>
      <c r="D69" s="13">
        <f t="shared" ca="1" si="0"/>
        <v>46609</v>
      </c>
      <c r="E69">
        <f t="shared" ca="1" si="1"/>
        <v>0.75</v>
      </c>
    </row>
    <row r="70" spans="2:5" x14ac:dyDescent="0.25">
      <c r="B70">
        <f t="shared" ca="1" si="2"/>
        <v>38.25</v>
      </c>
      <c r="D70" s="13">
        <f t="shared" ca="1" si="0"/>
        <v>46616</v>
      </c>
      <c r="E70">
        <f t="shared" ca="1" si="1"/>
        <v>0.75</v>
      </c>
    </row>
    <row r="71" spans="2:5" x14ac:dyDescent="0.25">
      <c r="B71">
        <f t="shared" ca="1" si="2"/>
        <v>39</v>
      </c>
      <c r="D71" s="13">
        <f t="shared" ca="1" si="0"/>
        <v>46623</v>
      </c>
      <c r="E71">
        <f t="shared" ca="1" si="1"/>
        <v>0.75</v>
      </c>
    </row>
    <row r="72" spans="2:5" x14ac:dyDescent="0.25">
      <c r="B72">
        <f t="shared" ca="1" si="2"/>
        <v>39.75</v>
      </c>
    </row>
    <row r="73" spans="2:5" x14ac:dyDescent="0.25">
      <c r="B73">
        <f t="shared" ca="1" si="2"/>
        <v>40.5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C694-77DE-4C2D-853D-15F42E16C174}">
  <dimension ref="A1:I45"/>
  <sheetViews>
    <sheetView workbookViewId="0">
      <selection activeCell="E20" sqref="E20"/>
    </sheetView>
  </sheetViews>
  <sheetFormatPr defaultRowHeight="15" x14ac:dyDescent="0.25"/>
  <cols>
    <col min="1" max="1" width="20.7109375" bestFit="1" customWidth="1"/>
    <col min="4" max="4" width="17.140625" bestFit="1" customWidth="1"/>
    <col min="5" max="5" width="12.140625" bestFit="1" customWidth="1"/>
    <col min="6" max="6" width="13.5703125" bestFit="1" customWidth="1"/>
    <col min="7" max="7" width="12.7109375" bestFit="1" customWidth="1"/>
    <col min="9" max="9" width="27.42578125" bestFit="1" customWidth="1"/>
  </cols>
  <sheetData>
    <row r="1" spans="1:9" x14ac:dyDescent="0.25">
      <c r="A1" t="s">
        <v>166</v>
      </c>
      <c r="D1" t="s">
        <v>167</v>
      </c>
      <c r="E1" t="b">
        <f>'Cell Links'!C2</f>
        <v>1</v>
      </c>
    </row>
    <row r="2" spans="1:9" x14ac:dyDescent="0.25">
      <c r="D2" t="s">
        <v>168</v>
      </c>
      <c r="E2">
        <v>0.04</v>
      </c>
    </row>
    <row r="3" spans="1:9" x14ac:dyDescent="0.25">
      <c r="B3" t="s">
        <v>0</v>
      </c>
    </row>
    <row r="5" spans="1:9" x14ac:dyDescent="0.25">
      <c r="C5" t="s">
        <v>169</v>
      </c>
    </row>
    <row r="6" spans="1:9" x14ac:dyDescent="0.25">
      <c r="I6" t="s">
        <v>170</v>
      </c>
    </row>
    <row r="7" spans="1:9" x14ac:dyDescent="0.25">
      <c r="D7" t="s">
        <v>171</v>
      </c>
      <c r="E7">
        <f>VLOOKUP('Cell Links'!F4,'Phase 1'!A4:B6,2,FALSE)</f>
        <v>10</v>
      </c>
      <c r="I7">
        <f>IF(E1=TRUE,E7*0.96,E7)</f>
        <v>9.6</v>
      </c>
    </row>
    <row r="8" spans="1:9" x14ac:dyDescent="0.25">
      <c r="D8" t="s">
        <v>80</v>
      </c>
      <c r="E8">
        <f ca="1">VLOOKUP('Cell Links'!F5,'Phase 1'!A9:B14,2,FALSE)</f>
        <v>15</v>
      </c>
      <c r="I8">
        <f ca="1">IF(E1=TRUE,E8*0.96,E8)</f>
        <v>14.399999999999999</v>
      </c>
    </row>
    <row r="9" spans="1:9" x14ac:dyDescent="0.25">
      <c r="D9" t="s">
        <v>172</v>
      </c>
      <c r="E9">
        <f>VLOOKUP('Cell Links'!F6,'Phase 1'!A17:B20,2,FALSE)</f>
        <v>7</v>
      </c>
      <c r="I9">
        <f>IF(E1=TRUE,E9*0.96,E9)</f>
        <v>6.72</v>
      </c>
    </row>
    <row r="10" spans="1:9" x14ac:dyDescent="0.25">
      <c r="F10" t="s">
        <v>173</v>
      </c>
      <c r="G10">
        <v>1.5</v>
      </c>
    </row>
    <row r="11" spans="1:9" x14ac:dyDescent="0.25">
      <c r="D11" t="s">
        <v>174</v>
      </c>
      <c r="E11">
        <f ca="1">IF('Cell Links'!M17=TRUE,G10*(SUM(E7:E8))+E9,SUM(E7:E9))</f>
        <v>32</v>
      </c>
    </row>
    <row r="12" spans="1:9" x14ac:dyDescent="0.25">
      <c r="D12" t="s">
        <v>175</v>
      </c>
      <c r="E12" s="47">
        <f ca="1">IFERROR(E11*'Front-End'!I4,"")</f>
        <v>41600</v>
      </c>
    </row>
    <row r="14" spans="1:9" x14ac:dyDescent="0.25">
      <c r="B14" t="s">
        <v>19</v>
      </c>
    </row>
    <row r="16" spans="1:9" x14ac:dyDescent="0.25">
      <c r="C16" t="s">
        <v>169</v>
      </c>
    </row>
    <row r="17" spans="2:7" x14ac:dyDescent="0.25">
      <c r="E17" t="s">
        <v>176</v>
      </c>
      <c r="F17" t="s">
        <v>155</v>
      </c>
    </row>
    <row r="18" spans="2:7" x14ac:dyDescent="0.25">
      <c r="D18" t="s">
        <v>177</v>
      </c>
      <c r="E18">
        <f>VLOOKUP('Cell Links'!F10,'Phase 2'!A18:B22,2,FALSE)</f>
        <v>450</v>
      </c>
      <c r="F18">
        <f>E18*'Cell Links'!C9</f>
        <v>5400</v>
      </c>
    </row>
    <row r="19" spans="2:7" x14ac:dyDescent="0.25">
      <c r="D19" t="s">
        <v>178</v>
      </c>
      <c r="E19">
        <f>VLOOKUP('Cell Links'!F8,'Phase 2'!A4:D14,2,FALSE)</f>
        <v>15</v>
      </c>
      <c r="F19">
        <f>E19*'Cell Links'!C7</f>
        <v>19500</v>
      </c>
    </row>
    <row r="20" spans="2:7" x14ac:dyDescent="0.25">
      <c r="D20" t="s">
        <v>179</v>
      </c>
      <c r="F20" s="47">
        <f>IFERROR(SUM(F18:F19),"")</f>
        <v>24900</v>
      </c>
    </row>
    <row r="22" spans="2:7" x14ac:dyDescent="0.25">
      <c r="B22" t="s">
        <v>1</v>
      </c>
    </row>
    <row r="24" spans="2:7" x14ac:dyDescent="0.25">
      <c r="C24" t="s">
        <v>169</v>
      </c>
    </row>
    <row r="25" spans="2:7" x14ac:dyDescent="0.25">
      <c r="E25" t="s">
        <v>180</v>
      </c>
      <c r="F25" t="s">
        <v>181</v>
      </c>
      <c r="G25" t="s">
        <v>155</v>
      </c>
    </row>
    <row r="26" spans="2:7" x14ac:dyDescent="0.25">
      <c r="D26" t="s">
        <v>182</v>
      </c>
      <c r="E26">
        <f>VLOOKUP('Cell Links'!F12,'Phase 3'!A15:B21,2,FALSE)</f>
        <v>3000</v>
      </c>
      <c r="F26">
        <f>VLOOKUP('Cell Links'!F12,'Phase 3'!A15:C21,3,FALSE)</f>
        <v>6</v>
      </c>
      <c r="G26">
        <f>F26*'Cell Links'!$C$7+E26</f>
        <v>10800</v>
      </c>
    </row>
    <row r="28" spans="2:7" x14ac:dyDescent="0.25">
      <c r="D28" t="s">
        <v>183</v>
      </c>
      <c r="E28">
        <f>IF('Cell Links'!F13="None",0,VLOOKUP('Cell Links'!F13,'Phase 3'!H23:I30,2,FALSE))</f>
        <v>3500</v>
      </c>
      <c r="F28">
        <f>VLOOKUP('Cell Links'!F13,'Phase 3'!H23:J30,3,FALSE)</f>
        <v>6</v>
      </c>
      <c r="G28">
        <f>IF(E28=0,0,F28*'Cell Links'!$C$7+E28)</f>
        <v>11300</v>
      </c>
    </row>
    <row r="30" spans="2:7" x14ac:dyDescent="0.25">
      <c r="D30" t="s">
        <v>184</v>
      </c>
      <c r="E30">
        <f>VLOOKUP('Cell Links'!F14,'Phase 3'!A25:B28,2,FALSE)</f>
        <v>9100</v>
      </c>
      <c r="F30">
        <v>0</v>
      </c>
      <c r="G30">
        <f>E30</f>
        <v>9100</v>
      </c>
    </row>
    <row r="32" spans="2:7" x14ac:dyDescent="0.25">
      <c r="D32" t="s">
        <v>185</v>
      </c>
      <c r="E32">
        <f>VLOOKUP('Cell Links'!$F$15,'Phase 3'!$A$32:$C$34,2,FALSE)</f>
        <v>20000</v>
      </c>
      <c r="F32">
        <f>VLOOKUP('Cell Links'!$F$15,'Phase 3'!$A$32:$C$34,3,FALSE)</f>
        <v>7.5</v>
      </c>
      <c r="G32">
        <f>F32*'Cell Links'!C7+E32</f>
        <v>29750</v>
      </c>
    </row>
    <row r="34" spans="4:7" x14ac:dyDescent="0.25">
      <c r="D34" t="s">
        <v>186</v>
      </c>
      <c r="F34">
        <f>'Cell Links'!F16</f>
        <v>4</v>
      </c>
      <c r="G34">
        <f>F34*500</f>
        <v>2000</v>
      </c>
    </row>
    <row r="36" spans="4:7" x14ac:dyDescent="0.25">
      <c r="D36" t="s">
        <v>187</v>
      </c>
      <c r="F36">
        <f ca="1">VLOOKUP('Cell Links'!F11,'Phase 3'!A4:B10,2,FALSE)</f>
        <v>2.75</v>
      </c>
      <c r="G36">
        <f ca="1">F36*'Cell Links'!C7</f>
        <v>3575</v>
      </c>
    </row>
    <row r="38" spans="4:7" x14ac:dyDescent="0.25">
      <c r="D38" t="s">
        <v>155</v>
      </c>
      <c r="G38" s="47">
        <f ca="1">IFERROR(SUM(G26:G37),"")</f>
        <v>66525</v>
      </c>
    </row>
    <row r="43" spans="4:7" x14ac:dyDescent="0.25">
      <c r="D43" t="s">
        <v>188</v>
      </c>
      <c r="E43" s="46">
        <f ca="1">IFERROR(E12+F20+G38,"")</f>
        <v>133025</v>
      </c>
    </row>
    <row r="44" spans="4:7" x14ac:dyDescent="0.25">
      <c r="D44" t="s">
        <v>189</v>
      </c>
      <c r="E44">
        <f ca="1">IFERROR(IF(E1,E43*E2,0),"")</f>
        <v>5321</v>
      </c>
    </row>
    <row r="45" spans="4:7" x14ac:dyDescent="0.25">
      <c r="D45" t="s">
        <v>190</v>
      </c>
      <c r="E45" s="46">
        <f ca="1">IFERROR(E43-E44,"")</f>
        <v>127704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7E4E-65C9-497B-93C5-A848081C684F}">
  <dimension ref="A1:L17"/>
  <sheetViews>
    <sheetView workbookViewId="0">
      <selection activeCell="J14" sqref="J14"/>
    </sheetView>
  </sheetViews>
  <sheetFormatPr defaultRowHeight="15" x14ac:dyDescent="0.25"/>
  <cols>
    <col min="1" max="1" width="16.140625" customWidth="1"/>
    <col min="2" max="2" width="22.42578125" customWidth="1"/>
    <col min="7" max="7" width="13.42578125" bestFit="1" customWidth="1"/>
    <col min="9" max="9" width="21.42578125" bestFit="1" customWidth="1"/>
    <col min="10" max="10" width="17" customWidth="1"/>
    <col min="11" max="11" width="15.28515625" bestFit="1" customWidth="1"/>
    <col min="12" max="12" width="22.5703125" customWidth="1"/>
    <col min="20" max="20" width="15.28515625" bestFit="1" customWidth="1"/>
    <col min="21" max="21" width="25.7109375" customWidth="1"/>
  </cols>
  <sheetData>
    <row r="1" spans="1:12" x14ac:dyDescent="0.25">
      <c r="A1" s="48" t="s">
        <v>191</v>
      </c>
      <c r="B1" s="48" t="s">
        <v>192</v>
      </c>
    </row>
    <row r="2" spans="1:12" x14ac:dyDescent="0.25">
      <c r="A2" s="49" t="s">
        <v>136</v>
      </c>
      <c r="B2" s="49">
        <v>0.1</v>
      </c>
    </row>
    <row r="3" spans="1:12" x14ac:dyDescent="0.25">
      <c r="A3" s="49" t="s">
        <v>80</v>
      </c>
      <c r="B3" s="49">
        <v>0.05</v>
      </c>
      <c r="J3" s="51" t="s">
        <v>193</v>
      </c>
    </row>
    <row r="4" spans="1:12" x14ac:dyDescent="0.25">
      <c r="A4" s="49" t="s">
        <v>172</v>
      </c>
      <c r="B4" s="49">
        <v>0.1</v>
      </c>
      <c r="K4" s="10" t="s">
        <v>191</v>
      </c>
      <c r="L4" s="10" t="s">
        <v>194</v>
      </c>
    </row>
    <row r="5" spans="1:12" x14ac:dyDescent="0.25">
      <c r="A5" s="49" t="s">
        <v>195</v>
      </c>
      <c r="B5" s="49">
        <v>0.1</v>
      </c>
      <c r="H5" s="42" t="s">
        <v>0</v>
      </c>
      <c r="I5" s="6" t="s">
        <v>134</v>
      </c>
      <c r="J5" s="12">
        <f>VLOOKUP('Cell Links'!$F$4,'Phase 1'!$A$4:$D$6,4,FALSE)</f>
        <v>40</v>
      </c>
      <c r="K5" t="s">
        <v>136</v>
      </c>
      <c r="L5">
        <v>0.1</v>
      </c>
    </row>
    <row r="6" spans="1:12" x14ac:dyDescent="0.25">
      <c r="A6" s="49" t="s">
        <v>196</v>
      </c>
      <c r="B6" s="49">
        <v>0.2</v>
      </c>
      <c r="I6" s="6" t="s">
        <v>137</v>
      </c>
      <c r="J6" s="12">
        <f ca="1">VLOOKUP('Cell Links'!$F$5,'Phase 1'!$A$9:$D$14,4,FALSE)</f>
        <v>50</v>
      </c>
      <c r="K6" t="s">
        <v>80</v>
      </c>
      <c r="L6">
        <v>0.05</v>
      </c>
    </row>
    <row r="7" spans="1:12" x14ac:dyDescent="0.25">
      <c r="A7" s="49" t="s">
        <v>82</v>
      </c>
      <c r="B7" s="49">
        <v>0.25</v>
      </c>
      <c r="I7" s="6" t="s">
        <v>13</v>
      </c>
      <c r="J7" s="12">
        <f>VLOOKUP('Cell Links'!$F$6,'Phase 1'!$A$17:$D$20,4,FALSE)</f>
        <v>60</v>
      </c>
      <c r="K7" t="s">
        <v>197</v>
      </c>
      <c r="L7">
        <v>0.1</v>
      </c>
    </row>
    <row r="8" spans="1:12" x14ac:dyDescent="0.25">
      <c r="A8" s="49" t="s">
        <v>198</v>
      </c>
      <c r="B8" s="49">
        <v>0.15</v>
      </c>
      <c r="H8" s="42" t="s">
        <v>19</v>
      </c>
      <c r="I8" s="6" t="s">
        <v>111</v>
      </c>
      <c r="J8" s="12">
        <f>VLOOKUP('Cell Links'!$F$8,'Phase 2'!$A$4:$D$14,4,FALSE)</f>
        <v>70</v>
      </c>
      <c r="K8" t="s">
        <v>21</v>
      </c>
      <c r="L8">
        <v>0.1</v>
      </c>
    </row>
    <row r="9" spans="1:12" x14ac:dyDescent="0.25">
      <c r="A9" s="49" t="s">
        <v>199</v>
      </c>
      <c r="B9" s="49">
        <v>0.02</v>
      </c>
      <c r="I9" s="6" t="s">
        <v>125</v>
      </c>
      <c r="J9" s="12">
        <f>VLOOKUP('Cell Links'!$F$10,'Phase 2'!$A$18:$D$22,4,FALSE)</f>
        <v>50</v>
      </c>
      <c r="K9" t="s">
        <v>196</v>
      </c>
      <c r="L9">
        <v>0.2</v>
      </c>
    </row>
    <row r="10" spans="1:12" x14ac:dyDescent="0.25">
      <c r="A10" s="49" t="s">
        <v>14</v>
      </c>
      <c r="B10" s="49">
        <v>0.03</v>
      </c>
      <c r="H10" s="42" t="s">
        <v>1</v>
      </c>
      <c r="I10" s="6" t="s">
        <v>76</v>
      </c>
      <c r="J10" s="12">
        <f ca="1">VLOOKUP('Cell Links'!$F$11,'Phase 3'!$A$4:$D$10,4,FALSE)</f>
        <v>70</v>
      </c>
      <c r="K10" t="s">
        <v>82</v>
      </c>
      <c r="L10">
        <v>0.25</v>
      </c>
    </row>
    <row r="11" spans="1:12" x14ac:dyDescent="0.25">
      <c r="I11" s="6" t="s">
        <v>148</v>
      </c>
      <c r="J11" s="12">
        <f>IF(L15=0,K15,AVERAGE($K$15:$L$15))</f>
        <v>95</v>
      </c>
      <c r="K11" t="s">
        <v>198</v>
      </c>
      <c r="L11">
        <v>0.15</v>
      </c>
    </row>
    <row r="12" spans="1:12" x14ac:dyDescent="0.25">
      <c r="I12" s="6" t="s">
        <v>150</v>
      </c>
      <c r="J12" s="12">
        <f>VLOOKUP('Cell Links'!$F$14,'Phase 3'!$A$25:$E$28,5,FALSE)</f>
        <v>40</v>
      </c>
      <c r="K12" t="s">
        <v>199</v>
      </c>
      <c r="L12">
        <v>0.02</v>
      </c>
    </row>
    <row r="13" spans="1:12" x14ac:dyDescent="0.25">
      <c r="I13" s="6" t="s">
        <v>152</v>
      </c>
      <c r="J13" s="12">
        <f>VLOOKUP('Cell Links'!$F$15,'Phase 3'!$A$32:$E$34,5,FALSE)</f>
        <v>90</v>
      </c>
      <c r="K13" t="s">
        <v>14</v>
      </c>
      <c r="L13">
        <v>0.03</v>
      </c>
    </row>
    <row r="15" spans="1:12" x14ac:dyDescent="0.25">
      <c r="K15">
        <f>VLOOKUP('Cell Links'!F12,'Phase 3'!A15:E21,5,FALSE)</f>
        <v>100</v>
      </c>
      <c r="L15">
        <f>IFERROR(_xlfn.IFNA(VLOOKUP('Cell Links'!F13,'Phase 3'!A15:E21,5,FALSE),0),"")</f>
        <v>90</v>
      </c>
    </row>
    <row r="17" spans="11:12" x14ac:dyDescent="0.25">
      <c r="K17" t="s">
        <v>200</v>
      </c>
      <c r="L17" s="50">
        <f ca="1">IFERROR(_xlfn.IFNA(SUMPRODUCT(J5:J13,L5:L13),""),"")</f>
        <v>64.75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4B7CF-8AE9-4DDB-BC1A-B3DB76B55904}">
  <dimension ref="C3:H31"/>
  <sheetViews>
    <sheetView topLeftCell="A4" workbookViewId="0">
      <selection activeCell="E6" sqref="E6"/>
    </sheetView>
  </sheetViews>
  <sheetFormatPr defaultRowHeight="15" x14ac:dyDescent="0.25"/>
  <cols>
    <col min="3" max="3" width="26.42578125" bestFit="1" customWidth="1"/>
    <col min="4" max="4" width="16" bestFit="1" customWidth="1"/>
    <col min="5" max="5" width="17.7109375" customWidth="1"/>
    <col min="8" max="8" width="9.85546875" bestFit="1" customWidth="1"/>
  </cols>
  <sheetData>
    <row r="3" spans="3:8" x14ac:dyDescent="0.25">
      <c r="H3" t="s">
        <v>201</v>
      </c>
    </row>
    <row r="4" spans="3:8" x14ac:dyDescent="0.25">
      <c r="C4" t="s">
        <v>202</v>
      </c>
    </row>
    <row r="5" spans="3:8" x14ac:dyDescent="0.25">
      <c r="D5" t="s">
        <v>203</v>
      </c>
      <c r="E5" s="52">
        <f ca="1">'Front-End'!B1</f>
        <v>46206</v>
      </c>
      <c r="H5" s="13" cm="1">
        <f t="array" aca="1" ref="H5:H28" ca="1">_xlfn._xlws.SORT(E6:E29,,1)</f>
        <v>46235</v>
      </c>
    </row>
    <row r="6" spans="3:8" x14ac:dyDescent="0.25">
      <c r="E6" s="13">
        <f ca="1">EOMONTH(E5,0)+1</f>
        <v>46235</v>
      </c>
      <c r="H6" s="13">
        <f ca="1"/>
        <v>46249</v>
      </c>
    </row>
    <row r="7" spans="3:8" x14ac:dyDescent="0.25">
      <c r="E7" s="13">
        <f ca="1">EOMONTH(E6,0)+1</f>
        <v>46266</v>
      </c>
      <c r="H7" s="13">
        <f ca="1"/>
        <v>46266</v>
      </c>
    </row>
    <row r="8" spans="3:8" x14ac:dyDescent="0.25">
      <c r="E8" s="13">
        <f t="shared" ref="E8:E13" ca="1" si="0">EOMONTH(E7,0)+1</f>
        <v>46296</v>
      </c>
      <c r="H8" s="13">
        <f ca="1"/>
        <v>46280</v>
      </c>
    </row>
    <row r="9" spans="3:8" x14ac:dyDescent="0.25">
      <c r="E9" s="13">
        <f t="shared" ca="1" si="0"/>
        <v>46327</v>
      </c>
      <c r="H9" s="13">
        <f ca="1"/>
        <v>46296</v>
      </c>
    </row>
    <row r="10" spans="3:8" x14ac:dyDescent="0.25">
      <c r="C10">
        <v>14</v>
      </c>
      <c r="E10" s="13">
        <f t="shared" ca="1" si="0"/>
        <v>46357</v>
      </c>
      <c r="H10" s="13">
        <f ca="1"/>
        <v>46310</v>
      </c>
    </row>
    <row r="11" spans="3:8" x14ac:dyDescent="0.25">
      <c r="E11" s="13">
        <f t="shared" ca="1" si="0"/>
        <v>46388</v>
      </c>
      <c r="H11" s="13">
        <f ca="1"/>
        <v>46327</v>
      </c>
    </row>
    <row r="12" spans="3:8" x14ac:dyDescent="0.25">
      <c r="E12" s="13">
        <f t="shared" ca="1" si="0"/>
        <v>46419</v>
      </c>
      <c r="H12" s="13">
        <f ca="1"/>
        <v>46341</v>
      </c>
    </row>
    <row r="13" spans="3:8" x14ac:dyDescent="0.25">
      <c r="E13" s="13">
        <f t="shared" ca="1" si="0"/>
        <v>46447</v>
      </c>
      <c r="H13" s="13">
        <f ca="1"/>
        <v>46357</v>
      </c>
    </row>
    <row r="14" spans="3:8" x14ac:dyDescent="0.25">
      <c r="E14" s="13">
        <f ca="1">EOMONTH(E13,0)+1</f>
        <v>46478</v>
      </c>
      <c r="H14" s="13">
        <f ca="1"/>
        <v>46371</v>
      </c>
    </row>
    <row r="15" spans="3:8" x14ac:dyDescent="0.25">
      <c r="E15" s="13">
        <f ca="1">EOMONTH(E14,0)+1</f>
        <v>46508</v>
      </c>
      <c r="H15" s="13">
        <f ca="1"/>
        <v>46388</v>
      </c>
    </row>
    <row r="16" spans="3:8" x14ac:dyDescent="0.25">
      <c r="E16" s="13">
        <f ca="1">EOMONTH(E15,0)+1</f>
        <v>46539</v>
      </c>
      <c r="H16" s="13">
        <f ca="1"/>
        <v>46402</v>
      </c>
    </row>
    <row r="17" spans="4:8" x14ac:dyDescent="0.25">
      <c r="E17" s="13">
        <f ca="1">EOMONTH(E16,0)+1</f>
        <v>46569</v>
      </c>
      <c r="H17" s="13">
        <f ca="1"/>
        <v>46419</v>
      </c>
    </row>
    <row r="18" spans="4:8" x14ac:dyDescent="0.25">
      <c r="D18" t="s">
        <v>204</v>
      </c>
      <c r="E18" s="13">
        <f ca="1">E6+$C$10</f>
        <v>46249</v>
      </c>
      <c r="H18" s="13">
        <f ca="1"/>
        <v>46433</v>
      </c>
    </row>
    <row r="19" spans="4:8" x14ac:dyDescent="0.25">
      <c r="E19" s="13">
        <f t="shared" ref="E19:E29" ca="1" si="1">E7+$C$10</f>
        <v>46280</v>
      </c>
      <c r="H19" s="13">
        <f ca="1"/>
        <v>46447</v>
      </c>
    </row>
    <row r="20" spans="4:8" x14ac:dyDescent="0.25">
      <c r="E20" s="13">
        <f t="shared" ca="1" si="1"/>
        <v>46310</v>
      </c>
      <c r="H20" s="13">
        <f ca="1"/>
        <v>46461</v>
      </c>
    </row>
    <row r="21" spans="4:8" x14ac:dyDescent="0.25">
      <c r="E21" s="13">
        <f t="shared" ca="1" si="1"/>
        <v>46341</v>
      </c>
      <c r="H21" s="13">
        <f ca="1"/>
        <v>46478</v>
      </c>
    </row>
    <row r="22" spans="4:8" x14ac:dyDescent="0.25">
      <c r="E22" s="13">
        <f t="shared" ca="1" si="1"/>
        <v>46371</v>
      </c>
      <c r="H22" s="13">
        <f ca="1"/>
        <v>46492</v>
      </c>
    </row>
    <row r="23" spans="4:8" x14ac:dyDescent="0.25">
      <c r="E23" s="13">
        <f t="shared" ca="1" si="1"/>
        <v>46402</v>
      </c>
      <c r="H23" s="13">
        <f ca="1"/>
        <v>46508</v>
      </c>
    </row>
    <row r="24" spans="4:8" x14ac:dyDescent="0.25">
      <c r="E24" s="13">
        <f t="shared" ca="1" si="1"/>
        <v>46433</v>
      </c>
      <c r="H24" s="13">
        <f ca="1"/>
        <v>46522</v>
      </c>
    </row>
    <row r="25" spans="4:8" x14ac:dyDescent="0.25">
      <c r="E25" s="13">
        <f t="shared" ca="1" si="1"/>
        <v>46461</v>
      </c>
      <c r="H25" s="13">
        <f ca="1"/>
        <v>46539</v>
      </c>
    </row>
    <row r="26" spans="4:8" x14ac:dyDescent="0.25">
      <c r="E26" s="13">
        <f t="shared" ca="1" si="1"/>
        <v>46492</v>
      </c>
      <c r="H26" s="13">
        <f ca="1"/>
        <v>46553</v>
      </c>
    </row>
    <row r="27" spans="4:8" x14ac:dyDescent="0.25">
      <c r="E27" s="13">
        <f t="shared" ca="1" si="1"/>
        <v>46522</v>
      </c>
      <c r="H27" s="13">
        <f ca="1"/>
        <v>46569</v>
      </c>
    </row>
    <row r="28" spans="4:8" x14ac:dyDescent="0.25">
      <c r="E28" s="13">
        <f t="shared" ca="1" si="1"/>
        <v>46553</v>
      </c>
      <c r="H28" s="13">
        <f ca="1"/>
        <v>46583</v>
      </c>
    </row>
    <row r="29" spans="4:8" x14ac:dyDescent="0.25">
      <c r="E29" s="13">
        <f t="shared" ca="1" si="1"/>
        <v>46583</v>
      </c>
      <c r="H29" s="13"/>
    </row>
    <row r="30" spans="4:8" x14ac:dyDescent="0.25">
      <c r="E30" s="13"/>
    </row>
    <row r="31" spans="4:8" x14ac:dyDescent="0.25">
      <c r="E31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D479E-F0A8-4067-8728-88B60E8F8B4E}">
  <dimension ref="A2:F41"/>
  <sheetViews>
    <sheetView workbookViewId="0">
      <selection activeCell="J36" sqref="J36"/>
    </sheetView>
  </sheetViews>
  <sheetFormatPr defaultColWidth="9.140625" defaultRowHeight="15" x14ac:dyDescent="0.25"/>
  <cols>
    <col min="1" max="1" width="22.42578125" style="55" customWidth="1"/>
    <col min="2" max="2" width="17.42578125" style="55" customWidth="1"/>
    <col min="3" max="4" width="9.140625" style="55"/>
    <col min="5" max="5" width="22.42578125" style="55" customWidth="1"/>
    <col min="6" max="16384" width="9.140625" style="55"/>
  </cols>
  <sheetData>
    <row r="2" spans="1:6" x14ac:dyDescent="0.25">
      <c r="A2" s="55" t="s">
        <v>207</v>
      </c>
      <c r="D2" s="55">
        <v>9</v>
      </c>
      <c r="E2" s="55" t="str" cm="1">
        <f t="array" ref="E2">INDEX($A$2:$A$40,D2)</f>
        <v>Cell links sheet, cell C10</v>
      </c>
      <c r="F2" s="55" t="str">
        <f>RIGHT(E2,LEN(E2)-23)</f>
        <v>C10</v>
      </c>
    </row>
    <row r="3" spans="1:6" x14ac:dyDescent="0.25">
      <c r="A3" s="55" t="s">
        <v>208</v>
      </c>
      <c r="D3" s="55">
        <v>0</v>
      </c>
      <c r="E3" s="55" t="str" cm="1">
        <f t="array" ref="E3:E41">INDEX($A$2:$A$40,D3)</f>
        <v>Cell links sheet, cell C2</v>
      </c>
      <c r="F3" s="55" t="str">
        <f>RIGHT(E3,LEN(E3)-23)</f>
        <v>C2</v>
      </c>
    </row>
    <row r="4" spans="1:6" x14ac:dyDescent="0.25">
      <c r="A4" s="55" t="s">
        <v>209</v>
      </c>
      <c r="E4" s="55" t="str">
        <v>Cell links sheet, cell C3</v>
      </c>
    </row>
    <row r="5" spans="1:6" x14ac:dyDescent="0.25">
      <c r="A5" s="55" t="s">
        <v>210</v>
      </c>
      <c r="E5" s="55" t="str">
        <v>Cell links sheet, cell C4</v>
      </c>
    </row>
    <row r="6" spans="1:6" x14ac:dyDescent="0.25">
      <c r="A6" s="55" t="s">
        <v>211</v>
      </c>
      <c r="E6" s="55" t="str">
        <v>Cell links sheet, cell C5</v>
      </c>
    </row>
    <row r="7" spans="1:6" x14ac:dyDescent="0.25">
      <c r="A7" s="55" t="s">
        <v>212</v>
      </c>
      <c r="E7" s="55" t="str">
        <v>Cell links sheet, cell C6</v>
      </c>
    </row>
    <row r="8" spans="1:6" x14ac:dyDescent="0.25">
      <c r="A8" s="55" t="s">
        <v>213</v>
      </c>
      <c r="E8" s="55" t="str">
        <v>Cell links sheet, cell C7</v>
      </c>
    </row>
    <row r="9" spans="1:6" x14ac:dyDescent="0.25">
      <c r="A9" s="55" t="s">
        <v>214</v>
      </c>
      <c r="E9" s="55" t="str">
        <v>Cell links sheet, cell C8</v>
      </c>
    </row>
    <row r="10" spans="1:6" x14ac:dyDescent="0.25">
      <c r="A10" s="55" t="s">
        <v>215</v>
      </c>
      <c r="E10" s="55" t="str">
        <v>Cell links sheet, cell C9</v>
      </c>
    </row>
    <row r="11" spans="1:6" x14ac:dyDescent="0.25">
      <c r="A11" s="55" t="s">
        <v>216</v>
      </c>
      <c r="E11" s="55" t="str">
        <v>Cell links sheet, cell C10</v>
      </c>
    </row>
    <row r="12" spans="1:6" x14ac:dyDescent="0.25">
      <c r="A12" s="55" t="s">
        <v>217</v>
      </c>
      <c r="E12" s="55" t="str">
        <v>Cell links sheet, cell C11</v>
      </c>
    </row>
    <row r="13" spans="1:6" x14ac:dyDescent="0.25">
      <c r="A13" s="55" t="s">
        <v>218</v>
      </c>
      <c r="E13" s="55" t="str">
        <v>Cell links sheet, cell C12</v>
      </c>
    </row>
    <row r="14" spans="1:6" x14ac:dyDescent="0.25">
      <c r="A14" s="55" t="s">
        <v>219</v>
      </c>
      <c r="E14" s="55" t="str">
        <v>Cell links sheet, cell C13</v>
      </c>
    </row>
    <row r="15" spans="1:6" x14ac:dyDescent="0.25">
      <c r="A15" s="55" t="s">
        <v>220</v>
      </c>
      <c r="E15" s="55" t="str">
        <v>Cell links sheet, cell C14</v>
      </c>
    </row>
    <row r="16" spans="1:6" x14ac:dyDescent="0.25">
      <c r="A16" s="55" t="s">
        <v>221</v>
      </c>
      <c r="E16" s="55" t="str">
        <v>Cell links sheet, cell C15</v>
      </c>
    </row>
    <row r="17" spans="1:5" x14ac:dyDescent="0.25">
      <c r="A17" s="55" t="s">
        <v>222</v>
      </c>
      <c r="E17" s="55" t="str">
        <v>Cell links sheet, cell C16</v>
      </c>
    </row>
    <row r="18" spans="1:5" x14ac:dyDescent="0.25">
      <c r="A18" s="55" t="s">
        <v>223</v>
      </c>
      <c r="E18" s="55" t="str">
        <v>Cell links sheet, cell C17</v>
      </c>
    </row>
    <row r="19" spans="1:5" x14ac:dyDescent="0.25">
      <c r="A19" s="55" t="s">
        <v>224</v>
      </c>
      <c r="E19" s="55" t="str">
        <v>Cell links sheet, cell C18</v>
      </c>
    </row>
    <row r="20" spans="1:5" x14ac:dyDescent="0.25">
      <c r="A20" s="55" t="s">
        <v>225</v>
      </c>
      <c r="E20" s="55" t="str">
        <v>Cell links sheet, cell C19</v>
      </c>
    </row>
    <row r="21" spans="1:5" x14ac:dyDescent="0.25">
      <c r="A21" s="55" t="s">
        <v>226</v>
      </c>
      <c r="E21" s="55" t="str">
        <v>Cell links sheet, cell C20</v>
      </c>
    </row>
    <row r="22" spans="1:5" x14ac:dyDescent="0.25">
      <c r="A22" s="55" t="s">
        <v>227</v>
      </c>
      <c r="E22" s="55" t="str">
        <v>Cell links sheet, cell C21</v>
      </c>
    </row>
    <row r="23" spans="1:5" x14ac:dyDescent="0.25">
      <c r="A23" s="55" t="s">
        <v>228</v>
      </c>
      <c r="E23" s="55" t="str">
        <v>Cell links sheet, cell C22</v>
      </c>
    </row>
    <row r="24" spans="1:5" x14ac:dyDescent="0.25">
      <c r="A24" s="55" t="s">
        <v>229</v>
      </c>
      <c r="E24" s="55" t="str">
        <v>Cell links sheet, cell C23</v>
      </c>
    </row>
    <row r="25" spans="1:5" x14ac:dyDescent="0.25">
      <c r="A25" s="55" t="s">
        <v>230</v>
      </c>
      <c r="E25" s="55" t="str">
        <v>Cell links sheet, cell C24</v>
      </c>
    </row>
    <row r="26" spans="1:5" x14ac:dyDescent="0.25">
      <c r="A26" s="55" t="s">
        <v>231</v>
      </c>
      <c r="E26" s="55" t="str">
        <v>Cell links sheet, cell C25</v>
      </c>
    </row>
    <row r="27" spans="1:5" x14ac:dyDescent="0.25">
      <c r="A27" s="55" t="s">
        <v>232</v>
      </c>
      <c r="E27" s="55" t="str">
        <v>Cell links sheet, cell C26</v>
      </c>
    </row>
    <row r="28" spans="1:5" x14ac:dyDescent="0.25">
      <c r="A28" s="55" t="s">
        <v>233</v>
      </c>
      <c r="E28" s="55" t="str">
        <v>Cell links sheet, cell C27</v>
      </c>
    </row>
    <row r="29" spans="1:5" x14ac:dyDescent="0.25">
      <c r="A29" s="55" t="s">
        <v>234</v>
      </c>
      <c r="E29" s="55" t="str">
        <v>Cell links sheet, cell C28</v>
      </c>
    </row>
    <row r="30" spans="1:5" x14ac:dyDescent="0.25">
      <c r="A30" s="55" t="s">
        <v>235</v>
      </c>
      <c r="E30" s="55" t="str">
        <v>Cell links sheet, cell C29</v>
      </c>
    </row>
    <row r="31" spans="1:5" x14ac:dyDescent="0.25">
      <c r="A31" s="55" t="s">
        <v>236</v>
      </c>
      <c r="E31" s="55" t="str">
        <v>Cell links sheet, cell C30</v>
      </c>
    </row>
    <row r="32" spans="1:5" x14ac:dyDescent="0.25">
      <c r="A32" s="55" t="s">
        <v>237</v>
      </c>
      <c r="E32" s="55" t="str">
        <v>Cell links sheet, cell C31</v>
      </c>
    </row>
    <row r="33" spans="1:5" x14ac:dyDescent="0.25">
      <c r="A33" s="55" t="s">
        <v>238</v>
      </c>
      <c r="E33" s="55" t="str">
        <v>Cell links sheet, cell C32</v>
      </c>
    </row>
    <row r="34" spans="1:5" x14ac:dyDescent="0.25">
      <c r="A34" s="55" t="s">
        <v>239</v>
      </c>
      <c r="E34" s="55" t="str">
        <v>Cell links sheet, cell C33</v>
      </c>
    </row>
    <row r="35" spans="1:5" x14ac:dyDescent="0.25">
      <c r="A35" s="55" t="s">
        <v>240</v>
      </c>
      <c r="E35" s="55" t="str">
        <v>Cell links sheet, cell C34</v>
      </c>
    </row>
    <row r="36" spans="1:5" x14ac:dyDescent="0.25">
      <c r="A36" s="55" t="s">
        <v>241</v>
      </c>
      <c r="E36" s="55" t="str">
        <v>Cell links sheet, cell C35</v>
      </c>
    </row>
    <row r="37" spans="1:5" x14ac:dyDescent="0.25">
      <c r="A37" s="55" t="s">
        <v>242</v>
      </c>
      <c r="E37" s="55" t="str">
        <v>Cell links sheet, cell C36</v>
      </c>
    </row>
    <row r="38" spans="1:5" x14ac:dyDescent="0.25">
      <c r="A38" s="55" t="s">
        <v>243</v>
      </c>
      <c r="E38" s="55" t="str">
        <v>Cell links sheet, cell C37</v>
      </c>
    </row>
    <row r="39" spans="1:5" x14ac:dyDescent="0.25">
      <c r="A39" s="55" t="s">
        <v>244</v>
      </c>
      <c r="E39" s="55" t="str">
        <v>Cell links sheet, cell C38</v>
      </c>
    </row>
    <row r="40" spans="1:5" x14ac:dyDescent="0.25">
      <c r="A40" s="55" t="s">
        <v>245</v>
      </c>
      <c r="E40" s="55" t="str">
        <v>Cell links sheet, cell C39</v>
      </c>
    </row>
    <row r="41" spans="1:5" x14ac:dyDescent="0.25">
      <c r="E41" s="55" t="str">
        <v>Cell links sheet, cell C40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</vt:i4>
      </vt:variant>
    </vt:vector>
  </HeadingPairs>
  <TitlesOfParts>
    <vt:vector size="23" baseType="lpstr">
      <vt:lpstr>Front-End</vt:lpstr>
      <vt:lpstr>Cell Links</vt:lpstr>
      <vt:lpstr>Phase 3</vt:lpstr>
      <vt:lpstr>Phase 2</vt:lpstr>
      <vt:lpstr>Phase 1</vt:lpstr>
      <vt:lpstr>Labor units</vt:lpstr>
      <vt:lpstr>Calculations</vt:lpstr>
      <vt:lpstr>Energy Score Impact</vt:lpstr>
      <vt:lpstr>Sheet2</vt:lpstr>
      <vt:lpstr>Ignore</vt:lpstr>
      <vt:lpstr>Butterfly</vt:lpstr>
      <vt:lpstr>ConcreteBlock</vt:lpstr>
      <vt:lpstr>ConcreteSlab</vt:lpstr>
      <vt:lpstr>CrawlSpace</vt:lpstr>
      <vt:lpstr>Earthbag</vt:lpstr>
      <vt:lpstr>Flat</vt:lpstr>
      <vt:lpstr>FullBasement</vt:lpstr>
      <vt:lpstr>Gable</vt:lpstr>
      <vt:lpstr>Hip</vt:lpstr>
      <vt:lpstr>Insulated</vt:lpstr>
      <vt:lpstr>Metal</vt:lpstr>
      <vt:lpstr>RammedEarth</vt:lpstr>
      <vt:lpstr>Wood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Amin-Tehrani, Darius</dc:creator>
  <cp:lastModifiedBy>Amin-Tehrani, Darius</cp:lastModifiedBy>
  <dcterms:created xsi:type="dcterms:W3CDTF">2026-07-03T19:43:24Z</dcterms:created>
  <dcterms:modified xsi:type="dcterms:W3CDTF">2026-07-04T01:51:45Z</dcterms:modified>
</cp:coreProperties>
</file>