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ariu\Downloads\"/>
    </mc:Choice>
  </mc:AlternateContent>
  <xr:revisionPtr revIDLastSave="0" documentId="13_ncr:1_{6B226879-EF4A-4E46-81ED-554627427EF8}" xr6:coauthVersionLast="47" xr6:coauthVersionMax="47" xr10:uidLastSave="{00000000-0000-0000-0000-000000000000}"/>
  <bookViews>
    <workbookView xWindow="-120" yWindow="-120" windowWidth="29040" windowHeight="15840" activeTab="1" xr2:uid="{D788571F-2B92-4CEB-A1A5-1256467B26DF}"/>
  </bookViews>
  <sheets>
    <sheet name="Model" sheetId="1" r:id="rId1"/>
    <sheet name="Summar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8" i="2" l="1" a="1"/>
  <c r="D8" i="2" s="1"/>
  <c r="E8" i="2" a="1"/>
  <c r="E8" i="2" s="1"/>
  <c r="F8" i="2" a="1"/>
  <c r="F8" i="2" s="1"/>
  <c r="G8" i="2" a="1"/>
  <c r="G8" i="2" s="1"/>
  <c r="C8" i="2" a="1"/>
  <c r="C8" i="2" s="1"/>
  <c r="D7" i="2" a="1"/>
  <c r="D7" i="2" s="1"/>
  <c r="E7" i="2" a="1"/>
  <c r="E7" i="2" s="1"/>
  <c r="F7" i="2" a="1"/>
  <c r="F7" i="2" s="1"/>
  <c r="G7" i="2" a="1"/>
  <c r="G7" i="2" s="1"/>
  <c r="C7" i="2" a="1"/>
  <c r="C7" i="2" s="1"/>
  <c r="D13" i="2" a="1"/>
  <c r="D13" i="2" s="1"/>
  <c r="E13" i="2" a="1"/>
  <c r="E13" i="2" s="1"/>
  <c r="F13" i="2" a="1"/>
  <c r="F13" i="2" s="1"/>
  <c r="G13" i="2" a="1"/>
  <c r="G13" i="2" s="1"/>
  <c r="D11" i="2" a="1"/>
  <c r="D11" i="2" s="1"/>
  <c r="E11" i="2" a="1"/>
  <c r="E11" i="2" s="1"/>
  <c r="F11" i="2" a="1"/>
  <c r="F11" i="2" s="1"/>
  <c r="G11" i="2" a="1"/>
  <c r="G11" i="2" s="1"/>
  <c r="D4" i="2" a="1"/>
  <c r="D4" i="2" s="1"/>
  <c r="E4" i="2" a="1"/>
  <c r="E4" i="2" s="1"/>
  <c r="F4" i="2" a="1"/>
  <c r="F4" i="2" s="1"/>
  <c r="G4" i="2" a="1"/>
  <c r="G4" i="2" s="1"/>
  <c r="C13" i="2" a="1"/>
  <c r="C13" i="2" s="1"/>
  <c r="C11" i="2" a="1"/>
  <c r="C11" i="2" s="1"/>
  <c r="C4" i="2" a="1"/>
  <c r="C4" i="2" s="1"/>
  <c r="B15" i="1"/>
  <c r="D2" i="1" s="1"/>
  <c r="B8" i="1"/>
  <c r="B10" i="1" l="1"/>
  <c r="B20" i="1" s="1"/>
  <c r="E10" i="1"/>
  <c r="D1" i="1"/>
  <c r="E14" i="1"/>
  <c r="F14" i="1" s="1"/>
  <c r="D4" i="1" l="1"/>
  <c r="B22" i="1"/>
  <c r="I2" i="1" s="1"/>
  <c r="D3" i="1"/>
  <c r="E15" i="1"/>
  <c r="F15" i="1" s="1"/>
  <c r="E13" i="1"/>
  <c r="B24" i="1" l="1"/>
  <c r="F13" i="1"/>
  <c r="B25" i="1" s="1"/>
  <c r="I1" i="1" s="1"/>
  <c r="B26" i="1" l="1" a="1"/>
  <c r="B26" i="1" s="1"/>
  <c r="I4" i="1" s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<sst xmlns="http://schemas.openxmlformats.org/spreadsheetml/2006/main" count="52" uniqueCount="48">
  <si>
    <t>Input range</t>
  </si>
  <si>
    <t>Simulation summary</t>
  </si>
  <si>
    <t>Fixed construction-related costs</t>
  </si>
  <si>
    <t>Simulation number</t>
  </si>
  <si>
    <t>Construction-related capacity costs</t>
  </si>
  <si>
    <t>Mean profit</t>
  </si>
  <si>
    <t>← Must use @RISK statistical function to be eligible for credit.</t>
  </si>
  <si>
    <t>Maintenance-related capcity costs</t>
  </si>
  <si>
    <t>Unit variable cost</t>
  </si>
  <si>
    <t>Profit percentiles</t>
  </si>
  <si>
    <t>Unit selling price</t>
  </si>
  <si>
    <t>Year 1 demand</t>
  </si>
  <si>
    <t>Annual growth in demand</t>
  </si>
  <si>
    <t>Risk of profit less than</t>
  </si>
  <si>
    <t>Cell link 1</t>
  </si>
  <si>
    <t>Cell link 2</t>
  </si>
  <si>
    <t>Chance of profit greater than</t>
  </si>
  <si>
    <r>
      <rPr>
        <b/>
        <sz val="11"/>
        <color rgb="FF0070C0"/>
        <rFont val="Aptos Narrow"/>
        <family val="2"/>
        <scheme val="minor"/>
      </rPr>
      <t>Reference</t>
    </r>
    <r>
      <rPr>
        <sz val="11"/>
        <rFont val="Aptos Narrow"/>
        <family val="2"/>
        <scheme val="minor"/>
      </rPr>
      <t xml:space="preserve"> the cell that represents the reserve quantity &gt;</t>
    </r>
  </si>
  <si>
    <r>
      <rPr>
        <b/>
        <sz val="11"/>
        <color rgb="FF0070C0"/>
        <rFont val="Aptos Narrow"/>
        <family val="2"/>
        <scheme val="minor"/>
      </rPr>
      <t>Reference</t>
    </r>
    <r>
      <rPr>
        <sz val="11"/>
        <rFont val="Aptos Narrow"/>
        <family val="2"/>
        <scheme val="minor"/>
      </rPr>
      <t xml:space="preserve"> the cell that calculates total order cost &gt;</t>
    </r>
  </si>
  <si>
    <r>
      <rPr>
        <b/>
        <sz val="11"/>
        <color rgb="FF0070C0"/>
        <rFont val="Aptos Narrow"/>
        <family val="2"/>
        <scheme val="minor"/>
      </rPr>
      <t>Reference</t>
    </r>
    <r>
      <rPr>
        <sz val="11"/>
        <rFont val="Aptos Narrow"/>
        <family val="2"/>
        <scheme val="minor"/>
      </rPr>
      <t xml:space="preserve"> the cell that represents demand &gt;</t>
    </r>
  </si>
  <si>
    <r>
      <rPr>
        <b/>
        <sz val="11"/>
        <color rgb="FF0070C0"/>
        <rFont val="Aptos Narrow"/>
        <family val="2"/>
        <scheme val="minor"/>
      </rPr>
      <t>Reference</t>
    </r>
    <r>
      <rPr>
        <sz val="11"/>
        <rFont val="Aptos Narrow"/>
        <family val="2"/>
        <scheme val="minor"/>
      </rPr>
      <t xml:space="preserve"> the cell that calculates total penalty cost &gt;</t>
    </r>
  </si>
  <si>
    <r>
      <rPr>
        <b/>
        <sz val="11"/>
        <color rgb="FF0070C0"/>
        <rFont val="Aptos Narrow"/>
        <family val="2"/>
        <scheme val="minor"/>
      </rPr>
      <t>Reference</t>
    </r>
    <r>
      <rPr>
        <sz val="11"/>
        <rFont val="Aptos Narrow"/>
        <family val="2"/>
        <scheme val="minor"/>
      </rPr>
      <t xml:space="preserve"> the cell that calculates the quantity actually ordered &gt;</t>
    </r>
  </si>
  <si>
    <r>
      <rPr>
        <b/>
        <sz val="11"/>
        <color rgb="FF0070C0"/>
        <rFont val="Aptos Narrow"/>
        <family val="2"/>
        <scheme val="minor"/>
      </rPr>
      <t>Reference</t>
    </r>
    <r>
      <rPr>
        <sz val="11"/>
        <rFont val="Aptos Narrow"/>
        <family val="2"/>
        <scheme val="minor"/>
      </rPr>
      <t xml:space="preserve"> the cell that calculates total revenue &gt;</t>
    </r>
  </si>
  <si>
    <r>
      <rPr>
        <b/>
        <sz val="11"/>
        <color rgb="FF0070C0"/>
        <rFont val="Aptos Narrow"/>
        <family val="2"/>
        <scheme val="minor"/>
      </rPr>
      <t>Reference</t>
    </r>
    <r>
      <rPr>
        <sz val="11"/>
        <rFont val="Aptos Narrow"/>
        <family val="2"/>
        <scheme val="minor"/>
      </rPr>
      <t xml:space="preserve"> the cell that calculates the shortfall quantity &gt;</t>
    </r>
  </si>
  <si>
    <r>
      <rPr>
        <b/>
        <sz val="11"/>
        <color rgb="FF0070C0"/>
        <rFont val="Aptos Narrow"/>
        <family val="2"/>
        <scheme val="minor"/>
      </rPr>
      <t>Reference</t>
    </r>
    <r>
      <rPr>
        <sz val="11"/>
        <rFont val="Aptos Narrow"/>
        <family val="2"/>
        <scheme val="minor"/>
      </rPr>
      <t xml:space="preserve"> the cell that calculates total profit &gt;</t>
    </r>
  </si>
  <si>
    <t>Beginning of Season:</t>
  </si>
  <si>
    <t>Reserve Quantity #:</t>
  </si>
  <si>
    <t>Reserve Quantity %: &gt;=</t>
  </si>
  <si>
    <t>Reserve Quantities:</t>
  </si>
  <si>
    <t>Quantity actually ordered:</t>
  </si>
  <si>
    <t>Extra amount needed to be ordered:</t>
  </si>
  <si>
    <t>Daypack Cost:</t>
  </si>
  <si>
    <t>Revenue:</t>
  </si>
  <si>
    <t>Costs:</t>
  </si>
  <si>
    <t>Daypack Sale:</t>
  </si>
  <si>
    <t>Too little demand:</t>
  </si>
  <si>
    <t>Good demand:</t>
  </si>
  <si>
    <t>Forecasted Demand:</t>
  </si>
  <si>
    <t>Too much demand:</t>
  </si>
  <si>
    <t>Min &gt;=</t>
  </si>
  <si>
    <t>Most Likely</t>
  </si>
  <si>
    <t>Max</t>
  </si>
  <si>
    <t># of reserved units not purchased:</t>
  </si>
  <si>
    <t>Penalty Cost per Unit</t>
  </si>
  <si>
    <t>Total penalty cost</t>
  </si>
  <si>
    <t>Total Revenue:</t>
  </si>
  <si>
    <t>Total Costs:</t>
  </si>
  <si>
    <t>Total Profit: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</si>
</sst>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  <numFmt numFmtId="166" formatCode="_(* #,##0_);_(* \(#,##0\);_(* &quot;-&quot;??_);_(@_)"/>
    <numFmt numFmtId="167" formatCode="&quot;$&quot;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0"/>
      <color theme="5" tint="-0.499984740745262"/>
      <name val="Calibri"/>
      <family val="2"/>
    </font>
    <font>
      <sz val="10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ck">
        <color theme="5" tint="-0.2499465926084170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25">
    <xf numFmtId="0" fontId="0" fillId="0" borderId="0" xfId="0"/>
    <xf numFmtId="0" fontId="3" fillId="0" borderId="1" xfId="0" applyFont="1" applyBorder="1"/>
    <xf numFmtId="0" fontId="3" fillId="0" borderId="0" xfId="0" applyFont="1"/>
    <xf numFmtId="164" fontId="0" fillId="0" borderId="2" xfId="1" applyNumberFormat="1" applyFont="1" applyBorder="1" applyProtection="1">
      <protection locked="0"/>
    </xf>
    <xf numFmtId="0" fontId="4" fillId="0" borderId="0" xfId="0" applyFont="1"/>
    <xf numFmtId="0" fontId="5" fillId="2" borderId="0" xfId="3" applyFont="1"/>
    <xf numFmtId="0" fontId="0" fillId="3" borderId="2" xfId="0" applyFill="1" applyBorder="1"/>
    <xf numFmtId="165" fontId="0" fillId="0" borderId="2" xfId="2" applyNumberFormat="1" applyFont="1" applyBorder="1"/>
    <xf numFmtId="165" fontId="0" fillId="0" borderId="0" xfId="2" applyNumberFormat="1" applyFont="1" applyBorder="1"/>
    <xf numFmtId="0" fontId="0" fillId="3" borderId="0" xfId="0" applyFill="1"/>
    <xf numFmtId="166" fontId="5" fillId="2" borderId="0" xfId="3" applyNumberFormat="1" applyFont="1"/>
    <xf numFmtId="0" fontId="5" fillId="0" borderId="0" xfId="0" applyFont="1" applyAlignment="1">
      <alignment horizontal="right"/>
    </xf>
    <xf numFmtId="0" fontId="0" fillId="4" borderId="3" xfId="0" applyFill="1" applyBorder="1" applyProtection="1">
      <protection locked="0"/>
    </xf>
    <xf numFmtId="0" fontId="7" fillId="0" borderId="0" xfId="0" applyFont="1"/>
    <xf numFmtId="167" fontId="0" fillId="4" borderId="3" xfId="0" applyNumberFormat="1" applyFill="1" applyBorder="1" applyProtection="1">
      <protection locked="0"/>
    </xf>
    <xf numFmtId="6" fontId="0" fillId="4" borderId="3" xfId="0" applyNumberFormat="1" applyFill="1" applyBorder="1" applyProtection="1">
      <protection locked="0"/>
    </xf>
    <xf numFmtId="0" fontId="0" fillId="0" borderId="4" xfId="0" applyBorder="1"/>
    <xf numFmtId="0" fontId="8" fillId="0" borderId="4" xfId="0" applyFont="1" applyBorder="1"/>
    <xf numFmtId="0" fontId="1" fillId="0" borderId="4" xfId="0" applyFont="1" applyBorder="1"/>
    <xf numFmtId="0" fontId="5" fillId="0" borderId="4" xfId="0" applyFont="1" applyBorder="1" applyAlignment="1">
      <alignment horizontal="right"/>
    </xf>
    <xf numFmtId="0" fontId="1" fillId="0" borderId="0" xfId="0" applyFont="1"/>
    <xf numFmtId="9" fontId="0" fillId="0" borderId="0" xfId="0" applyNumberFormat="1"/>
    <xf numFmtId="167" fontId="0" fillId="0" borderId="0" xfId="1" applyNumberFormat="1" applyFont="1"/>
    <xf numFmtId="167" fontId="0" fillId="0" borderId="0" xfId="0" applyNumberFormat="1"/>
    <xf numFmtId="6" fontId="0" fillId="0" borderId="0" xfId="0" applyNumberFormat="1"/>
  </cellXfs>
  <cellStyles count="4">
    <cellStyle name="Bad" xfId="3" builtinId="27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F2017-3081-49CC-BF60-2EBDDBAE52DC}">
  <dimension ref="A1:CF281"/>
  <sheetViews>
    <sheetView workbookViewId="0">
      <selection activeCell="D24" sqref="D24"/>
    </sheetView>
  </sheetViews>
  <sheetFormatPr defaultColWidth="9.140625" defaultRowHeight="15" x14ac:dyDescent="0.25"/>
  <cols>
    <col min="1" max="1" width="38.5703125" style="20" customWidth="1"/>
    <col min="2" max="2" width="14.28515625" style="20" bestFit="1" customWidth="1"/>
    <col min="3" max="3" width="14.42578125" style="20" customWidth="1"/>
    <col min="4" max="4" width="34.140625" style="20" customWidth="1"/>
    <col min="5" max="5" width="24.7109375" style="20" bestFit="1" customWidth="1"/>
    <col min="6" max="7" width="14.42578125" style="20" customWidth="1"/>
    <col min="8" max="8" width="13.85546875" style="20" customWidth="1"/>
    <col min="9" max="9" width="15.28515625" style="20" bestFit="1" customWidth="1"/>
    <col min="10" max="10" width="17" style="20" customWidth="1"/>
    <col min="11" max="11" width="10.5703125" style="20" customWidth="1"/>
    <col min="12" max="24" width="9.140625" style="20"/>
    <col min="25" max="25" width="8.28515625" style="20" bestFit="1" customWidth="1"/>
    <col min="26" max="16384" width="9.140625" style="20"/>
  </cols>
  <sheetData>
    <row r="1" spans="1:84" customFormat="1" x14ac:dyDescent="0.25">
      <c r="C1" s="11" t="s">
        <v>17</v>
      </c>
      <c r="D1" s="12" t="e">
        <f ca="1">B8</f>
        <v>#NAME?</v>
      </c>
      <c r="E1" s="13"/>
      <c r="H1" s="11" t="s">
        <v>18</v>
      </c>
      <c r="I1" s="14" t="e">
        <f ca="1">B25</f>
        <v>#NAME?</v>
      </c>
      <c r="J1" s="13"/>
    </row>
    <row r="2" spans="1:84" customFormat="1" x14ac:dyDescent="0.25">
      <c r="C2" s="11" t="s">
        <v>19</v>
      </c>
      <c r="D2" s="12" t="e">
        <f ca="1">B15</f>
        <v>#NAME?</v>
      </c>
      <c r="E2" s="13"/>
      <c r="H2" s="11" t="s">
        <v>20</v>
      </c>
      <c r="I2" s="15" t="e">
        <f ca="1">B22</f>
        <v>#NAME?</v>
      </c>
      <c r="J2" s="13"/>
    </row>
    <row r="3" spans="1:84" customFormat="1" x14ac:dyDescent="0.25">
      <c r="C3" s="11" t="s">
        <v>21</v>
      </c>
      <c r="D3" s="12" t="e">
        <f ca="1">B10</f>
        <v>#NAME?</v>
      </c>
      <c r="E3" s="13"/>
      <c r="H3" s="11" t="s">
        <v>22</v>
      </c>
      <c r="I3" s="14" t="e">
        <f ca="1">B24</f>
        <v>#NAME?</v>
      </c>
      <c r="J3" s="13"/>
    </row>
    <row r="4" spans="1:84" customFormat="1" x14ac:dyDescent="0.25">
      <c r="C4" s="11" t="s">
        <v>23</v>
      </c>
      <c r="D4" s="12" t="e">
        <f ca="1">B20</f>
        <v>#NAME?</v>
      </c>
      <c r="E4" s="13"/>
      <c r="H4" s="11" t="s">
        <v>24</v>
      </c>
      <c r="I4" s="14" t="e">
        <f ca="1">B26</f>
        <v>#NAME?</v>
      </c>
      <c r="J4" s="13"/>
    </row>
    <row r="5" spans="1:84" s="16" customFormat="1" ht="15.75" thickBot="1" x14ac:dyDescent="0.3">
      <c r="D5" s="17"/>
      <c r="E5" s="18"/>
      <c r="H5" s="19"/>
      <c r="I5" s="17"/>
    </row>
    <row r="6" spans="1:84" customFormat="1" ht="15.75" thickTop="1" x14ac:dyDescent="0.25">
      <c r="A6" t="s">
        <v>25</v>
      </c>
    </row>
    <row r="7" spans="1:84" x14ac:dyDescent="0.25"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</row>
    <row r="8" spans="1:84" x14ac:dyDescent="0.25">
      <c r="A8" t="s">
        <v>26</v>
      </c>
      <c r="B8" t="e">
        <f ca="1">_xll.RiskSimtable(H10:H14)</f>
        <v>#NAME?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 x14ac:dyDescent="0.25">
      <c r="A9" t="s">
        <v>27</v>
      </c>
      <c r="B9" s="21">
        <v>0.8</v>
      </c>
      <c r="C9"/>
      <c r="D9"/>
      <c r="E9"/>
      <c r="F9"/>
      <c r="G9"/>
      <c r="H9" t="s">
        <v>28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</row>
    <row r="10" spans="1:84" x14ac:dyDescent="0.25">
      <c r="A10" t="s">
        <v>29</v>
      </c>
      <c r="B10" s="20" t="e">
        <f ca="1">IF(B15&lt;B8*B9,B8*B9,IF(AND(B15&gt;=B8*B9,B15&lt;=B8),B15,IF(B15&gt;B8,B8)))</f>
        <v>#NAME?</v>
      </c>
      <c r="C10"/>
      <c r="D10" t="s">
        <v>30</v>
      </c>
      <c r="E10" t="e">
        <f ca="1">IF(B15&lt;B8*B9,B10-B15,0)</f>
        <v>#NAME?</v>
      </c>
      <c r="F10"/>
      <c r="G10"/>
      <c r="H10">
        <v>100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 x14ac:dyDescent="0.25">
      <c r="B11"/>
      <c r="C11"/>
      <c r="D11"/>
      <c r="E11"/>
      <c r="F11"/>
      <c r="G11"/>
      <c r="H11">
        <v>150</v>
      </c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</row>
    <row r="12" spans="1:84" x14ac:dyDescent="0.25">
      <c r="A12" t="s">
        <v>31</v>
      </c>
      <c r="B12" s="22">
        <v>50</v>
      </c>
      <c r="C12"/>
      <c r="D12"/>
      <c r="E12" t="s">
        <v>32</v>
      </c>
      <c r="F12" t="s">
        <v>33</v>
      </c>
      <c r="G12"/>
      <c r="H12">
        <v>200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 x14ac:dyDescent="0.25">
      <c r="A13" t="s">
        <v>34</v>
      </c>
      <c r="B13" s="22">
        <v>160</v>
      </c>
      <c r="C13"/>
      <c r="D13" t="s">
        <v>35</v>
      </c>
      <c r="E13" s="23" t="e">
        <f ca="1">IF(B15&lt;B10,B13*B15,0)</f>
        <v>#NAME?</v>
      </c>
      <c r="F13" s="23" t="e">
        <f ca="1">IF(E13&gt;0,B10*B12+B22,0)</f>
        <v>#NAME?</v>
      </c>
      <c r="G13"/>
      <c r="H13">
        <v>250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</row>
    <row r="14" spans="1:84" x14ac:dyDescent="0.25">
      <c r="A14"/>
      <c r="B14"/>
      <c r="C14"/>
      <c r="D14" t="s">
        <v>36</v>
      </c>
      <c r="E14" s="23" t="e">
        <f ca="1">IF(AND(B15&gt;=B8*B9,B15&lt;=B8),B13*B15,0)</f>
        <v>#NAME?</v>
      </c>
      <c r="F14" s="23" t="e">
        <f ca="1">IF(E14&gt;0,(B15*B12)+B22,0)</f>
        <v>#NAME?</v>
      </c>
      <c r="G14"/>
      <c r="H14">
        <v>300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5" spans="1:84" x14ac:dyDescent="0.25">
      <c r="A15" t="s">
        <v>37</v>
      </c>
      <c r="B15" t="e">
        <f ca="1">_xll.RiskPert(B16,B17,B18)</f>
        <v>#NAME?</v>
      </c>
      <c r="C15"/>
      <c r="D15" t="s">
        <v>38</v>
      </c>
      <c r="E15" s="22" t="e">
        <f ca="1">IF(B15&gt;B10,B10*B13,0)</f>
        <v>#NAME?</v>
      </c>
      <c r="F15" s="23" t="e">
        <f ca="1">IF(E15&gt;0,B12*B10,0)</f>
        <v>#NAME?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</row>
    <row r="16" spans="1:84" x14ac:dyDescent="0.25">
      <c r="A16" t="s">
        <v>39</v>
      </c>
      <c r="B16">
        <v>50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</row>
    <row r="17" spans="1:84" x14ac:dyDescent="0.25">
      <c r="A17" s="20" t="s">
        <v>40</v>
      </c>
      <c r="B17">
        <v>150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</row>
    <row r="18" spans="1:84" x14ac:dyDescent="0.25">
      <c r="A18" t="s">
        <v>41</v>
      </c>
      <c r="B18">
        <v>325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</row>
    <row r="19" spans="1:84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</row>
    <row r="20" spans="1:84" x14ac:dyDescent="0.25">
      <c r="A20" t="s">
        <v>42</v>
      </c>
      <c r="B20" t="e">
        <f ca="1">B8-B10</f>
        <v>#NAME?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</row>
    <row r="21" spans="1:84" x14ac:dyDescent="0.25">
      <c r="A21" t="s">
        <v>43</v>
      </c>
      <c r="B21" s="24">
        <v>5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</row>
    <row r="22" spans="1:84" x14ac:dyDescent="0.25">
      <c r="A22" t="s">
        <v>44</v>
      </c>
      <c r="B22" s="24" t="e">
        <f ca="1">B21*B20</f>
        <v>#NAME?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</row>
    <row r="23" spans="1:84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</row>
    <row r="24" spans="1:84" x14ac:dyDescent="0.25">
      <c r="A24" t="s">
        <v>45</v>
      </c>
      <c r="B24" s="23" t="e">
        <f ca="1">MAX(E13:E15)</f>
        <v>#NAME?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</row>
    <row r="25" spans="1:84" x14ac:dyDescent="0.25">
      <c r="A25" t="s">
        <v>46</v>
      </c>
      <c r="B25" s="23" t="e">
        <f ca="1">MAX(F13:F15)</f>
        <v>#NAME?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</row>
    <row r="26" spans="1:84" x14ac:dyDescent="0.25">
      <c r="A26" t="s">
        <v>47</v>
      </c>
      <c r="B26" s="23" t="e" cm="1">
        <f t="array" aca="1" ref="B26" ca="1">_xll.RiskOutput()+B24-B25</f>
        <v>#NAME?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</row>
    <row r="27" spans="1:84" ht="1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</row>
    <row r="28" spans="1:84" ht="15" customHeigh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</row>
    <row r="29" spans="1:84" ht="15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</row>
    <row r="30" spans="1:84" ht="15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</row>
    <row r="31" spans="1:84" ht="15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</row>
    <row r="32" spans="1:84" ht="15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</row>
    <row r="33" spans="1:84" ht="15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</row>
    <row r="34" spans="1:84" ht="15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</row>
    <row r="35" spans="1:84" ht="1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</row>
    <row r="36" spans="1:84" ht="1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</row>
    <row r="37" spans="1:84" ht="1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</row>
    <row r="38" spans="1:84" ht="1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</row>
    <row r="39" spans="1:84" ht="1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</row>
    <row r="40" spans="1:84" ht="15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</row>
    <row r="41" spans="1:84" ht="15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</row>
    <row r="42" spans="1:84" ht="15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</row>
    <row r="43" spans="1:84" ht="15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</row>
    <row r="44" spans="1:84" ht="15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</row>
    <row r="45" spans="1:84" ht="15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</row>
    <row r="46" spans="1:84" ht="15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</row>
    <row r="47" spans="1:84" ht="1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</row>
    <row r="48" spans="1:84" ht="1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</row>
    <row r="49" spans="1:84" ht="15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</row>
    <row r="50" spans="1:84" ht="1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</row>
    <row r="51" spans="1:84" ht="1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</row>
    <row r="52" spans="1:84" ht="1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</row>
    <row r="53" spans="1:84" ht="15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</row>
    <row r="54" spans="1:84" ht="15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</row>
    <row r="55" spans="1:84" ht="15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</row>
    <row r="56" spans="1:84" ht="15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</row>
    <row r="57" spans="1:84" ht="15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</row>
    <row r="58" spans="1:84" ht="15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</row>
    <row r="59" spans="1:84" ht="15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</row>
    <row r="60" spans="1:84" ht="15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</row>
    <row r="61" spans="1:84" ht="1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</row>
    <row r="62" spans="1:84" ht="15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</row>
    <row r="63" spans="1:84" ht="15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</row>
    <row r="64" spans="1:84" ht="1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</row>
    <row r="65" spans="1:84" ht="1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</row>
    <row r="66" spans="1:84" ht="1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</row>
    <row r="67" spans="1:84" ht="1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</row>
    <row r="68" spans="1:84" ht="1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</row>
    <row r="69" spans="1:84" ht="1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</row>
    <row r="70" spans="1:84" ht="1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</row>
    <row r="71" spans="1:84" ht="1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</row>
    <row r="72" spans="1:84" ht="1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</row>
    <row r="73" spans="1:84" ht="1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</row>
    <row r="74" spans="1:84" ht="1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</row>
    <row r="75" spans="1:84" ht="1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</row>
    <row r="76" spans="1:84" ht="1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</row>
    <row r="77" spans="1:84" ht="1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</row>
    <row r="78" spans="1:84" ht="1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</row>
    <row r="79" spans="1:84" ht="1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</row>
    <row r="80" spans="1:84" ht="1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</row>
    <row r="81" spans="1:84" ht="1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</row>
    <row r="82" spans="1:84" ht="1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</row>
    <row r="83" spans="1:84" ht="1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</row>
    <row r="84" spans="1:84" ht="1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</row>
    <row r="85" spans="1:84" ht="1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</row>
    <row r="86" spans="1:84" ht="1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</row>
    <row r="87" spans="1:84" ht="1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</row>
    <row r="88" spans="1:84" ht="1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</row>
    <row r="89" spans="1:84" ht="1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</row>
    <row r="90" spans="1:84" ht="1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</row>
    <row r="91" spans="1:84" ht="1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</row>
    <row r="92" spans="1:84" ht="1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</row>
    <row r="93" spans="1:84" ht="1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</row>
    <row r="94" spans="1:84" ht="1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</row>
    <row r="95" spans="1:84" ht="1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</row>
    <row r="96" spans="1:84" ht="1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</row>
    <row r="97" spans="1:84" ht="1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</row>
    <row r="98" spans="1:84" ht="1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</row>
    <row r="99" spans="1:84" ht="1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</row>
    <row r="100" spans="1:84" ht="1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</row>
    <row r="101" spans="1:84" ht="1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</row>
    <row r="102" spans="1:84" ht="1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</row>
    <row r="103" spans="1:84" ht="1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</row>
    <row r="104" spans="1:84" ht="1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</row>
    <row r="105" spans="1:84" ht="1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</row>
    <row r="106" spans="1:84" ht="1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</row>
    <row r="107" spans="1:84" ht="1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</row>
    <row r="108" spans="1:84" ht="1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</row>
    <row r="109" spans="1:84" ht="1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</row>
    <row r="110" spans="1:84" ht="1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</row>
    <row r="111" spans="1:84" ht="1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</row>
    <row r="112" spans="1:84" ht="1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</row>
    <row r="113" spans="1:84" ht="1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</row>
    <row r="114" spans="1:84" ht="1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</row>
    <row r="115" spans="1:84" ht="1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</row>
    <row r="116" spans="1:84" ht="1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</row>
    <row r="117" spans="1:84" ht="1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</row>
    <row r="118" spans="1:84" ht="1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</row>
    <row r="119" spans="1:84" ht="1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</row>
    <row r="120" spans="1:84" ht="1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</row>
    <row r="121" spans="1:84" ht="1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</row>
    <row r="122" spans="1:84" ht="1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</row>
    <row r="123" spans="1:84" ht="1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</row>
    <row r="124" spans="1:84" ht="1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</row>
    <row r="125" spans="1:84" ht="1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</row>
    <row r="126" spans="1:84" ht="1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</row>
    <row r="127" spans="1:84" ht="1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</row>
    <row r="128" spans="1:84" ht="1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</row>
    <row r="129" spans="1:84" ht="1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</row>
    <row r="130" spans="1:84" ht="1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</row>
    <row r="131" spans="1:84" ht="1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</row>
    <row r="132" spans="1:84" ht="1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</row>
    <row r="133" spans="1:84" ht="1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</row>
    <row r="134" spans="1:84" ht="1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</row>
    <row r="135" spans="1:84" ht="1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</row>
    <row r="136" spans="1:84" ht="1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</row>
    <row r="137" spans="1:84" ht="1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</row>
    <row r="138" spans="1:84" ht="1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</row>
    <row r="139" spans="1:84" ht="1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</row>
    <row r="140" spans="1:84" ht="1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</row>
    <row r="141" spans="1:84" ht="1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</row>
    <row r="142" spans="1:84" ht="1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</row>
    <row r="143" spans="1:84" ht="1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</row>
    <row r="144" spans="1:84" ht="1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</row>
    <row r="145" spans="1:84" ht="1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</row>
    <row r="146" spans="1:84" ht="1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</row>
    <row r="147" spans="1:84" ht="1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</row>
    <row r="148" spans="1:84" ht="1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</row>
    <row r="149" spans="1:84" ht="1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</row>
    <row r="150" spans="1:84" ht="1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</row>
    <row r="151" spans="1:84" ht="1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</row>
    <row r="152" spans="1:84" ht="1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</row>
    <row r="153" spans="1:84" ht="1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</row>
    <row r="154" spans="1:84" ht="1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</row>
    <row r="155" spans="1:84" ht="1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</row>
    <row r="156" spans="1:84" ht="1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</row>
    <row r="157" spans="1:84" ht="1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</row>
    <row r="158" spans="1:84" ht="1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</row>
    <row r="159" spans="1:84" ht="1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</row>
    <row r="160" spans="1:84" ht="1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</row>
    <row r="161" spans="1:84" ht="1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</row>
    <row r="162" spans="1:84" ht="1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</row>
    <row r="163" spans="1:84" ht="1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</row>
    <row r="164" spans="1:84" ht="1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</row>
    <row r="165" spans="1:84" ht="1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</row>
    <row r="166" spans="1:84" ht="1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</row>
    <row r="167" spans="1:84" ht="1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</row>
    <row r="168" spans="1:84" ht="1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</row>
    <row r="169" spans="1:84" ht="1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</row>
    <row r="170" spans="1:84" ht="1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</row>
    <row r="171" spans="1:84" ht="1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</row>
    <row r="172" spans="1:84" ht="1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</row>
    <row r="173" spans="1:84" ht="1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</row>
    <row r="174" spans="1:84" ht="1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</row>
    <row r="175" spans="1:84" ht="1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</row>
    <row r="176" spans="1:84" ht="1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</row>
    <row r="177" spans="1:84" ht="1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</row>
    <row r="178" spans="1:84" ht="1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</row>
    <row r="179" spans="1:84" ht="1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</row>
    <row r="180" spans="1:84" ht="1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</row>
    <row r="181" spans="1:84" ht="1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</row>
    <row r="182" spans="1:84" ht="1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</row>
    <row r="183" spans="1:84" ht="1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</row>
    <row r="184" spans="1:84" ht="1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</row>
    <row r="185" spans="1:84" ht="1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</row>
    <row r="186" spans="1:84" ht="1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</row>
    <row r="187" spans="1:84" ht="1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</row>
    <row r="188" spans="1:84" ht="1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</row>
    <row r="189" spans="1:84" ht="1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</row>
    <row r="190" spans="1:84" ht="1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</row>
    <row r="191" spans="1:84" ht="1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</row>
    <row r="192" spans="1:84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</row>
    <row r="193" spans="1:84" ht="1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</row>
    <row r="194" spans="1:84" ht="1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</row>
    <row r="195" spans="1:84" ht="1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</row>
    <row r="196" spans="1:84" ht="1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</row>
    <row r="197" spans="1:84" ht="1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</row>
    <row r="198" spans="1:84" ht="1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</row>
    <row r="199" spans="1:84" ht="1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</row>
    <row r="200" spans="1:84" ht="1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</row>
    <row r="201" spans="1:84" ht="1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</row>
    <row r="202" spans="1:84" ht="1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</row>
    <row r="203" spans="1:84" ht="1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</row>
    <row r="204" spans="1:84" ht="1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</row>
    <row r="205" spans="1:84" ht="1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</row>
    <row r="206" spans="1:84" ht="1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</row>
    <row r="207" spans="1:84" ht="1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</row>
    <row r="208" spans="1:84" ht="1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</row>
    <row r="209" spans="1:84" ht="1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</row>
    <row r="210" spans="1:84" ht="1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</row>
    <row r="211" spans="1:84" ht="1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</row>
    <row r="212" spans="1:84" ht="1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</row>
    <row r="213" spans="1:84" ht="1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</row>
    <row r="214" spans="1:84" ht="1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</row>
    <row r="215" spans="1:84" ht="1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</row>
    <row r="216" spans="1:84" ht="1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</row>
    <row r="217" spans="1:84" ht="1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</row>
    <row r="218" spans="1:84" ht="1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</row>
    <row r="219" spans="1:84" ht="15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</row>
    <row r="220" spans="1:84" ht="1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</row>
    <row r="221" spans="1:84" ht="1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</row>
    <row r="222" spans="1:84" ht="1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</row>
    <row r="223" spans="1:84" ht="1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</row>
    <row r="224" spans="1:84" ht="1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</row>
    <row r="225" spans="1:84" ht="1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</row>
    <row r="226" spans="1:84" ht="1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</row>
    <row r="227" spans="1:84" ht="1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</row>
    <row r="228" spans="1:84" ht="1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</row>
    <row r="229" spans="1:84" ht="1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</row>
    <row r="230" spans="1:84" ht="1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</row>
    <row r="231" spans="1:84" ht="1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</row>
    <row r="232" spans="1:84" ht="1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</row>
    <row r="233" spans="1:84" ht="1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</row>
    <row r="234" spans="1:84" ht="1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</row>
    <row r="235" spans="1:84" ht="1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</row>
    <row r="236" spans="1:84" ht="1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</row>
    <row r="237" spans="1:84" ht="1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</row>
    <row r="238" spans="1:84" ht="1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</row>
    <row r="239" spans="1:84" ht="1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</row>
    <row r="240" spans="1:84" ht="1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</row>
    <row r="241" spans="1:84" ht="1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</row>
    <row r="242" spans="1:84" ht="1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</row>
    <row r="243" spans="1:84" ht="1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</row>
    <row r="244" spans="1:84" ht="1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</row>
    <row r="245" spans="1:84" ht="1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</row>
    <row r="246" spans="1:84" ht="1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</row>
    <row r="247" spans="1:84" ht="1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</row>
    <row r="248" spans="1:84" ht="1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</row>
    <row r="249" spans="1:84" ht="1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</row>
    <row r="250" spans="1:84" ht="1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</row>
    <row r="251" spans="1:84" ht="1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</row>
    <row r="252" spans="1:84" ht="1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</row>
    <row r="253" spans="1:84" ht="1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</row>
    <row r="254" spans="1:84" ht="1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</row>
    <row r="255" spans="1:84" ht="1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</row>
    <row r="256" spans="1:84" ht="1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</row>
    <row r="257" spans="1:84" ht="1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</row>
    <row r="258" spans="1:84" ht="1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</row>
    <row r="259" spans="1:84" ht="1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</row>
    <row r="260" spans="1:84" ht="1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</row>
    <row r="261" spans="1:84" ht="1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</row>
    <row r="262" spans="1:84" ht="1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</row>
    <row r="263" spans="1:84" ht="1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</row>
    <row r="264" spans="1:84" ht="1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</row>
    <row r="265" spans="1:84" ht="1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</row>
    <row r="266" spans="1:84" ht="1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</row>
    <row r="267" spans="1:84" ht="1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</row>
    <row r="268" spans="1:84" ht="1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</row>
    <row r="269" spans="1:84" ht="1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</row>
    <row r="270" spans="1:84" ht="1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</row>
    <row r="271" spans="1:84" ht="1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</row>
    <row r="272" spans="1:84" ht="1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</row>
    <row r="273" spans="1:84" ht="1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</row>
    <row r="274" spans="1:84" ht="1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</row>
    <row r="275" spans="1:84" ht="1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</row>
    <row r="276" spans="1:84" ht="1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</row>
    <row r="277" spans="1:84" ht="1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</row>
    <row r="278" spans="1:84" ht="1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</row>
    <row r="279" spans="1:84" ht="1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</row>
    <row r="280" spans="1:84" ht="1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</row>
    <row r="281" spans="1:84" ht="1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CC70-47E5-43FA-95A0-152B434F56E5}">
  <dimension ref="A1:ZZ32"/>
  <sheetViews>
    <sheetView tabSelected="1" workbookViewId="0">
      <selection activeCell="G7" sqref="G7"/>
    </sheetView>
  </sheetViews>
  <sheetFormatPr defaultColWidth="0" defaultRowHeight="15" zeroHeight="1" x14ac:dyDescent="0.25"/>
  <cols>
    <col min="1" max="1" width="6.140625" customWidth="1"/>
    <col min="2" max="2" width="19.28515625" customWidth="1"/>
    <col min="3" max="7" width="12.28515625" customWidth="1"/>
    <col min="8" max="8" width="28.42578125" customWidth="1"/>
    <col min="9" max="11" width="9.140625" customWidth="1"/>
    <col min="12" max="16384" width="9.140625" hidden="1"/>
  </cols>
  <sheetData>
    <row r="1" spans="1:702" x14ac:dyDescent="0.25">
      <c r="ZZ1" t="s">
        <v>0</v>
      </c>
    </row>
    <row r="2" spans="1:702" x14ac:dyDescent="0.25">
      <c r="A2" s="1" t="s">
        <v>1</v>
      </c>
      <c r="B2" s="2"/>
      <c r="ZZ2" t="s">
        <v>2</v>
      </c>
    </row>
    <row r="3" spans="1:702" x14ac:dyDescent="0.25">
      <c r="B3" t="s">
        <v>3</v>
      </c>
      <c r="C3" s="2">
        <v>1</v>
      </c>
      <c r="D3" s="2">
        <v>2</v>
      </c>
      <c r="E3" s="2">
        <v>3</v>
      </c>
      <c r="F3" s="2">
        <v>4</v>
      </c>
      <c r="G3" s="2">
        <v>5</v>
      </c>
      <c r="ZZ3" t="s">
        <v>4</v>
      </c>
    </row>
    <row r="4" spans="1:702" x14ac:dyDescent="0.25">
      <c r="B4" t="s">
        <v>5</v>
      </c>
      <c r="C4" s="3" t="e" cm="1">
        <f t="array" aca="1" ref="C4" ca="1">RiskMean(Model!$B$26,C3)</f>
        <v>#NAME?</v>
      </c>
      <c r="D4" s="3" t="e" cm="1">
        <f t="array" aca="1" ref="D4" ca="1">RiskMean(Model!$B$26,D3)</f>
        <v>#NAME?</v>
      </c>
      <c r="E4" s="3" t="e" cm="1">
        <f t="array" aca="1" ref="E4" ca="1">RiskMean(Model!$B$26,E3)</f>
        <v>#NAME?</v>
      </c>
      <c r="F4" s="3" t="e" cm="1">
        <f t="array" aca="1" ref="F4" ca="1">RiskMean(Model!$B$26,F3)</f>
        <v>#NAME?</v>
      </c>
      <c r="G4" s="3" t="e" cm="1">
        <f t="array" aca="1" ref="G4" ca="1">RiskMean(Model!$B$26,G3)</f>
        <v>#NAME?</v>
      </c>
      <c r="H4" s="4" t="s">
        <v>6</v>
      </c>
      <c r="ZZ4" t="s">
        <v>7</v>
      </c>
    </row>
    <row r="5" spans="1:702" x14ac:dyDescent="0.25">
      <c r="ZZ5" t="s">
        <v>8</v>
      </c>
    </row>
    <row r="6" spans="1:702" x14ac:dyDescent="0.25">
      <c r="B6" t="s">
        <v>9</v>
      </c>
      <c r="ZZ6" t="s">
        <v>10</v>
      </c>
    </row>
    <row r="7" spans="1:702" x14ac:dyDescent="0.25">
      <c r="B7" s="5">
        <v>0.01</v>
      </c>
      <c r="C7" s="3" t="e" cm="1">
        <f t="array" aca="1" ref="C7" ca="1">RiskPercentile(Model!$B$26,$B$7,Summary!C3)</f>
        <v>#NAME?</v>
      </c>
      <c r="D7" s="3" t="e" cm="1">
        <f t="array" aca="1" ref="D7" ca="1">RiskPercentile(Model!$B$26,$B$7,Summary!D3)</f>
        <v>#NAME?</v>
      </c>
      <c r="E7" s="3" t="e" cm="1">
        <f t="array" aca="1" ref="E7" ca="1">RiskPercentile(Model!$B$26,$B$7,Summary!E3)</f>
        <v>#NAME?</v>
      </c>
      <c r="F7" s="3" t="e" cm="1">
        <f t="array" aca="1" ref="F7" ca="1">RiskPercentile(Model!$B$26,$B$7,Summary!F3)</f>
        <v>#NAME?</v>
      </c>
      <c r="G7" s="3" t="e" cm="1">
        <f t="array" aca="1" ref="G7" ca="1">RiskPercentile(Model!$B$26,$B$7,Summary!G3)</f>
        <v>#NAME?</v>
      </c>
      <c r="H7" s="4" t="s">
        <v>6</v>
      </c>
      <c r="ZZ7" t="s">
        <v>11</v>
      </c>
    </row>
    <row r="8" spans="1:702" x14ac:dyDescent="0.25">
      <c r="B8" s="5">
        <v>0.99</v>
      </c>
      <c r="C8" s="3" t="e" cm="1">
        <f t="array" aca="1" ref="C8" ca="1">RiskPercentile(Model!$B$26,$B$8,Summary!C3)</f>
        <v>#NAME?</v>
      </c>
      <c r="D8" s="3" t="e" cm="1">
        <f t="array" aca="1" ref="D8" ca="1">RiskPercentile(Model!$B$26,$B$8,Summary!D3)</f>
        <v>#NAME?</v>
      </c>
      <c r="E8" s="3" t="e" cm="1">
        <f t="array" aca="1" ref="E8" ca="1">RiskPercentile(Model!$B$26,$B$8,Summary!E3)</f>
        <v>#NAME?</v>
      </c>
      <c r="F8" s="3" t="e" cm="1">
        <f t="array" aca="1" ref="F8" ca="1">RiskPercentile(Model!$B$26,$B$8,Summary!F3)</f>
        <v>#NAME?</v>
      </c>
      <c r="G8" s="3" t="e" cm="1">
        <f t="array" aca="1" ref="G8" ca="1">RiskPercentile(Model!$B$26,$B$8,Summary!G3)</f>
        <v>#NAME?</v>
      </c>
      <c r="H8" s="4" t="s">
        <v>6</v>
      </c>
      <c r="ZZ8" t="s">
        <v>12</v>
      </c>
    </row>
    <row r="9" spans="1:702" x14ac:dyDescent="0.25"/>
    <row r="10" spans="1:702" x14ac:dyDescent="0.25">
      <c r="B10" t="s">
        <v>13</v>
      </c>
      <c r="ZY10" t="s">
        <v>14</v>
      </c>
      <c r="ZZ10" s="6"/>
    </row>
    <row r="11" spans="1:702" x14ac:dyDescent="0.25">
      <c r="B11" s="5">
        <v>0</v>
      </c>
      <c r="C11" s="7" t="e" cm="1">
        <f t="array" aca="1" ref="C11" ca="1">RiskTarget(Model!$B$26,$B$11,C3)</f>
        <v>#NAME?</v>
      </c>
      <c r="D11" s="7" t="e" cm="1">
        <f t="array" aca="1" ref="D11" ca="1">RiskTarget(Model!$B$26,$B$11,D3)</f>
        <v>#NAME?</v>
      </c>
      <c r="E11" s="7" t="e" cm="1">
        <f t="array" aca="1" ref="E11" ca="1">RiskTarget(Model!$B$26,$B$11,E3)</f>
        <v>#NAME?</v>
      </c>
      <c r="F11" s="7" t="e" cm="1">
        <f t="array" aca="1" ref="F11" ca="1">RiskTarget(Model!$B$26,$B$11,F3)</f>
        <v>#NAME?</v>
      </c>
      <c r="G11" s="7" t="e" cm="1">
        <f t="array" aca="1" ref="G11" ca="1">RiskTarget(Model!$B$26,$B$11,G3)</f>
        <v>#NAME?</v>
      </c>
      <c r="H11" s="4" t="s">
        <v>6</v>
      </c>
      <c r="ZY11" t="s">
        <v>15</v>
      </c>
      <c r="ZZ11" s="6"/>
    </row>
    <row r="12" spans="1:702" x14ac:dyDescent="0.25">
      <c r="B12" t="s">
        <v>16</v>
      </c>
      <c r="C12" s="8"/>
      <c r="D12" s="8"/>
      <c r="E12" s="8"/>
      <c r="F12" s="8"/>
      <c r="G12" s="8"/>
      <c r="H12" s="4"/>
      <c r="ZZ12" s="9"/>
    </row>
    <row r="13" spans="1:702" x14ac:dyDescent="0.25">
      <c r="B13" s="10">
        <v>15000</v>
      </c>
      <c r="C13" s="7" t="e" cm="1">
        <f t="array" aca="1" ref="C13" ca="1">1-RiskTarget(Model!$B$26,$B$13,C3)</f>
        <v>#NAME?</v>
      </c>
      <c r="D13" s="7" t="e" cm="1">
        <f t="array" aca="1" ref="D13" ca="1">1-RiskTarget(Model!$B$26,$B$13,D3)</f>
        <v>#NAME?</v>
      </c>
      <c r="E13" s="7" t="e" cm="1">
        <f t="array" aca="1" ref="E13" ca="1">1-RiskTarget(Model!$B$26,$B$13,E3)</f>
        <v>#NAME?</v>
      </c>
      <c r="F13" s="7" t="e" cm="1">
        <f t="array" aca="1" ref="F13" ca="1">1-RiskTarget(Model!$B$26,$B$13,F3)</f>
        <v>#NAME?</v>
      </c>
      <c r="G13" s="7" t="e" cm="1">
        <f t="array" aca="1" ref="G13" ca="1">1-RiskTarget(Model!$B$26,$B$13,G3)</f>
        <v>#NAME?</v>
      </c>
      <c r="H13" s="4" t="s">
        <v>6</v>
      </c>
      <c r="ZZ13" s="9"/>
    </row>
    <row r="14" spans="1:702" x14ac:dyDescent="0.25"/>
    <row r="17" customFormat="1" hidden="1" x14ac:dyDescent="0.25"/>
    <row r="18" customFormat="1" hidden="1" x14ac:dyDescent="0.25"/>
    <row r="19" customFormat="1" hidden="1" x14ac:dyDescent="0.25"/>
    <row r="20" customFormat="1" hidden="1" x14ac:dyDescent="0.25"/>
    <row r="21" customFormat="1" hidden="1" x14ac:dyDescent="0.25"/>
    <row r="22" customFormat="1" hidden="1" x14ac:dyDescent="0.25"/>
    <row r="23" customFormat="1" hidden="1" x14ac:dyDescent="0.25"/>
    <row r="24" customFormat="1" hidden="1" x14ac:dyDescent="0.25"/>
    <row r="25" customFormat="1" hidden="1" x14ac:dyDescent="0.25"/>
    <row r="26" customFormat="1" hidden="1" x14ac:dyDescent="0.25"/>
    <row r="27" customFormat="1" hidden="1" x14ac:dyDescent="0.25"/>
    <row r="28" customFormat="1" hidden="1" x14ac:dyDescent="0.25"/>
    <row r="29" customFormat="1" hidden="1" x14ac:dyDescent="0.25"/>
    <row r="30" customFormat="1" hidden="1" x14ac:dyDescent="0.25"/>
    <row r="31" customFormat="1" hidden="1" x14ac:dyDescent="0.25"/>
    <row r="32" customFormat="1" hidden="1" x14ac:dyDescent="0.25"/>
  </sheetData>
  <conditionalFormatting sqref="C4:G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Model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Amin-Tehrani, Darius</dc:creator>
  <cp:lastModifiedBy>Amin-Tehrani, Darius</cp:lastModifiedBy>
  <dcterms:created xsi:type="dcterms:W3CDTF">2026-07-04T00:29:37Z</dcterms:created>
  <dcterms:modified xsi:type="dcterms:W3CDTF">2026-07-04T01:53:32Z</dcterms:modified>
</cp:coreProperties>
</file>